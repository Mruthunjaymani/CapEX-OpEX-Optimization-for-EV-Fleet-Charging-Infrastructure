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uthunjay Mani\MANAGEMENT SCIENCE\PROJECT\"/>
    </mc:Choice>
  </mc:AlternateContent>
  <xr:revisionPtr revIDLastSave="0" documentId="13_ncr:1_{89C6B92F-3E9A-4CD3-86C5-5F7B5D0FEA61}" xr6:coauthVersionLast="47" xr6:coauthVersionMax="47" xr10:uidLastSave="{00000000-0000-0000-0000-000000000000}"/>
  <bookViews>
    <workbookView xWindow="-108" yWindow="-108" windowWidth="23256" windowHeight="13896" activeTab="3" xr2:uid="{5CD7AFAC-FDB0-47F3-9504-5C0187FA4AEB}"/>
  </bookViews>
  <sheets>
    <sheet name="CAPEX" sheetId="1" r:id="rId1"/>
    <sheet name="OPEX" sheetId="2" r:id="rId2"/>
    <sheet name="SOLAR EXPORT REVENUE (DIRECT)" sheetId="3" r:id="rId3"/>
    <sheet name="Total Cos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<sst xmlns="http://schemas.openxmlformats.org/spreadsheetml/2006/main" count="16" uniqueCount="4">
  <si>
    <t>Metric/Year</t>
  </si>
  <si>
    <t>ER = 1</t>
  </si>
  <si>
    <t>ER = 0</t>
  </si>
  <si>
    <t>ER =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</si>
</sst>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CAPEX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CAPEX!$A$2</c:f>
              <c:strCache>
                <c:ptCount val="1"/>
                <c:pt idx="0">
                  <c:v>ER =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CAPEX!$B$1:$F$1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CAPEX!$B$2:$F$2</c:f>
              <c:numCache>
                <c:formatCode>General</c:formatCode>
                <c:ptCount val="5"/>
                <c:pt idx="0">
                  <c:v>60000</c:v>
                </c:pt>
                <c:pt idx="1">
                  <c:v>60000</c:v>
                </c:pt>
                <c:pt idx="2">
                  <c:v>22870.073850000001</c:v>
                </c:pt>
                <c:pt idx="3">
                  <c:v>2500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1-4D73-AFF3-E7FB4B7EFFCD}"/>
            </c:ext>
          </c:extLst>
        </c:ser>
        <c:ser>
          <c:idx val="1"/>
          <c:order val="1"/>
          <c:tx>
            <c:strRef>
              <c:f>CAPEX!$A$3</c:f>
              <c:strCache>
                <c:ptCount val="1"/>
                <c:pt idx="0">
                  <c:v>ER = 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CAPEX!$B$1:$F$1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CAPEX!$B$3:$F$3</c:f>
              <c:numCache>
                <c:formatCode>General</c:formatCode>
                <c:ptCount val="5"/>
                <c:pt idx="0">
                  <c:v>60000</c:v>
                </c:pt>
                <c:pt idx="1">
                  <c:v>60000</c:v>
                </c:pt>
                <c:pt idx="2">
                  <c:v>24090.586670000001</c:v>
                </c:pt>
                <c:pt idx="3">
                  <c:v>2500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41-4D73-AFF3-E7FB4B7EFFCD}"/>
            </c:ext>
          </c:extLst>
        </c:ser>
        <c:ser>
          <c:idx val="2"/>
          <c:order val="2"/>
          <c:tx>
            <c:strRef>
              <c:f>CAPEX!$A$4</c:f>
              <c:strCache>
                <c:ptCount val="1"/>
                <c:pt idx="0">
                  <c:v>ER = 0.5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CAPEX!$B$1:$F$1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CAPEX!$B$4:$F$4</c:f>
              <c:numCache>
                <c:formatCode>General</c:formatCode>
                <c:ptCount val="5"/>
                <c:pt idx="0">
                  <c:v>60000</c:v>
                </c:pt>
                <c:pt idx="1">
                  <c:v>60000</c:v>
                </c:pt>
                <c:pt idx="2">
                  <c:v>22870.073850000001</c:v>
                </c:pt>
                <c:pt idx="3">
                  <c:v>2500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41-4D73-AFF3-E7FB4B7EF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008128"/>
        <c:axId val="1716016288"/>
      </c:barChart>
      <c:catAx>
        <c:axId val="171600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16288"/>
        <c:crosses val="autoZero"/>
        <c:auto val="1"/>
        <c:lblAlgn val="ctr"/>
        <c:lblOffset val="100"/>
        <c:noMultiLvlLbl val="0"/>
      </c:catAx>
      <c:valAx>
        <c:axId val="171601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0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OPEX PER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OPEX!$A$2</c:f>
              <c:strCache>
                <c:ptCount val="1"/>
                <c:pt idx="0">
                  <c:v>ER =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OPEX!$B$1:$F$1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OPEX!$B$2:$F$2</c:f>
              <c:numCache>
                <c:formatCode>General</c:formatCode>
                <c:ptCount val="5"/>
                <c:pt idx="0">
                  <c:v>206691.9828</c:v>
                </c:pt>
                <c:pt idx="1">
                  <c:v>310208.7905</c:v>
                </c:pt>
                <c:pt idx="2">
                  <c:v>371196.38780000003</c:v>
                </c:pt>
                <c:pt idx="3">
                  <c:v>425457.54330000002</c:v>
                </c:pt>
                <c:pt idx="4">
                  <c:v>548727.16830000002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D-4C57-BADC-01A8453CEE7B}"/>
            </c:ext>
          </c:extLst>
        </c:ser>
        <c:ser>
          <c:idx val="1"/>
          <c:order val="1"/>
          <c:tx>
            <c:strRef>
              <c:f>OPEX!$A$3</c:f>
              <c:strCache>
                <c:ptCount val="1"/>
                <c:pt idx="0">
                  <c:v>ER = 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OPEX!$B$1:$F$1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OPEX!$B$3:$F$3</c:f>
              <c:numCache>
                <c:formatCode>General</c:formatCode>
                <c:ptCount val="5"/>
                <c:pt idx="0">
                  <c:v>23998.067449999999</c:v>
                </c:pt>
                <c:pt idx="1">
                  <c:v>59731.713450000003</c:v>
                </c:pt>
                <c:pt idx="2">
                  <c:v>166533.40530000001</c:v>
                </c:pt>
                <c:pt idx="3">
                  <c:v>329661.03029999998</c:v>
                </c:pt>
                <c:pt idx="4">
                  <c:v>474429.15529999998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D-4C57-BADC-01A8453CEE7B}"/>
            </c:ext>
          </c:extLst>
        </c:ser>
        <c:ser>
          <c:idx val="2"/>
          <c:order val="2"/>
          <c:tx>
            <c:strRef>
              <c:f>OPEX!$A$4</c:f>
              <c:strCache>
                <c:ptCount val="1"/>
                <c:pt idx="0">
                  <c:v>ER = 0.5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OPEX!$B$1:$F$1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OPEX!$B$4:$F$4</c:f>
              <c:numCache>
                <c:formatCode>General</c:formatCode>
                <c:ptCount val="5"/>
                <c:pt idx="0">
                  <c:v>26507.442449999999</c:v>
                </c:pt>
                <c:pt idx="1">
                  <c:v>59608.876909999999</c:v>
                </c:pt>
                <c:pt idx="2">
                  <c:v>166533.40530000001</c:v>
                </c:pt>
                <c:pt idx="3">
                  <c:v>329661.03029999998</c:v>
                </c:pt>
                <c:pt idx="4">
                  <c:v>474429.15529999998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D-4C57-BADC-01A8453CE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6062368"/>
        <c:axId val="1716060928"/>
      </c:barChart>
      <c:catAx>
        <c:axId val="17160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60928"/>
        <c:crosses val="autoZero"/>
        <c:auto val="1"/>
        <c:lblAlgn val="ctr"/>
        <c:lblOffset val="100"/>
        <c:noMultiLvlLbl val="0"/>
      </c:catAx>
      <c:valAx>
        <c:axId val="171606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6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Solar</a:t>
            </a:r>
            <a:r>
              <a:rPr lang="en-IN" baseline="0"/>
              <a:t> Export Revenue Per year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'SOLAR EXPORT REVENUE (DIRECT)'!$A$2</c:f>
              <c:strCache>
                <c:ptCount val="1"/>
                <c:pt idx="0">
                  <c:v>ER =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'SOLAR EXPORT REVENUE (DIRECT)'!$B$1:$F$1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'SOLAR EXPORT REVENUE (DIRECT)'!$B$2:$F$2</c:f>
              <c:numCache>
                <c:formatCode>General</c:formatCode>
                <c:ptCount val="5"/>
                <c:pt idx="0">
                  <c:v>231430.27780000001</c:v>
                </c:pt>
                <c:pt idx="1">
                  <c:v>247526.1538</c:v>
                </c:pt>
                <c:pt idx="2">
                  <c:v>186515</c:v>
                </c:pt>
                <c:pt idx="3">
                  <c:v>95796.513000000006</c:v>
                </c:pt>
                <c:pt idx="4">
                  <c:v>74298.013000000006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2D-4C3A-B7CE-F23DCE4D5642}"/>
            </c:ext>
          </c:extLst>
        </c:ser>
        <c:ser>
          <c:idx val="1"/>
          <c:order val="1"/>
          <c:tx>
            <c:strRef>
              <c:f>'SOLAR EXPORT REVENUE (DIRECT)'!$A$3</c:f>
              <c:strCache>
                <c:ptCount val="1"/>
                <c:pt idx="0">
                  <c:v>ER = 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'SOLAR EXPORT REVENUE (DIRECT)'!$B$1:$F$1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'SOLAR EXPORT REVENUE (DIRECT)'!$B$3:$F$3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2D-4C3A-B7CE-F23DCE4D5642}"/>
            </c:ext>
          </c:extLst>
        </c:ser>
        <c:ser>
          <c:idx val="2"/>
          <c:order val="2"/>
          <c:tx>
            <c:strRef>
              <c:f>'SOLAR EXPORT REVENUE (DIRECT)'!$A$4</c:f>
              <c:strCache>
                <c:ptCount val="1"/>
                <c:pt idx="0">
                  <c:v>ER = 0.5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'SOLAR EXPORT REVENUE (DIRECT)'!$B$1:$F$1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'SOLAR EXPORT REVENUE (DIRECT)'!$B$4:$F$4</c:f>
              <c:numCache>
                <c:formatCode>General</c:formatCode>
                <c:ptCount val="5"/>
                <c:pt idx="0">
                  <c:v>25622.868699999999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.00E+00">
                  <c:v>8.2999999999999998E-12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2D-4C3A-B7CE-F23DCE4D5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6047008"/>
        <c:axId val="1716040288"/>
      </c:lineChart>
      <c:catAx>
        <c:axId val="171604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40288"/>
        <c:crosses val="autoZero"/>
        <c:auto val="1"/>
        <c:lblAlgn val="ctr"/>
        <c:lblOffset val="100"/>
        <c:noMultiLvlLbl val="0"/>
      </c:catAx>
      <c:valAx>
        <c:axId val="171604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04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COST PER YEAR (OBJECTIVE)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Cost'!$A$2</c:f>
              <c:strCache>
                <c:ptCount val="1"/>
                <c:pt idx="0">
                  <c:v>ER =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'Total Cost'!$B$1:$F$1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'Total Cost'!$B$2:$F$2</c:f>
              <c:numCache>
                <c:formatCode>General</c:formatCode>
                <c:ptCount val="5"/>
                <c:pt idx="0">
                  <c:v>35261.705049999997</c:v>
                </c:pt>
                <c:pt idx="1">
                  <c:v>118295.6174</c:v>
                </c:pt>
                <c:pt idx="2">
                  <c:v>187815.7292</c:v>
                </c:pt>
                <c:pt idx="3">
                  <c:v>332161.03029999998</c:v>
                </c:pt>
                <c:pt idx="4">
                  <c:v>474429.15529999998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5-48E2-A9FA-DFC71EE9012E}"/>
            </c:ext>
          </c:extLst>
        </c:ser>
        <c:ser>
          <c:idx val="1"/>
          <c:order val="1"/>
          <c:tx>
            <c:strRef>
              <c:f>'Total Cost'!$A$3</c:f>
              <c:strCache>
                <c:ptCount val="1"/>
                <c:pt idx="0">
                  <c:v>ER = 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'Total Cost'!$B$1:$F$1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'Total Cost'!$B$3:$F$3</c:f>
              <c:numCache>
                <c:formatCode>General</c:formatCode>
                <c:ptCount val="5"/>
                <c:pt idx="0">
                  <c:v>83998.067450000002</c:v>
                </c:pt>
                <c:pt idx="1">
                  <c:v>119731.7135</c:v>
                </c:pt>
                <c:pt idx="2">
                  <c:v>190623.992</c:v>
                </c:pt>
                <c:pt idx="3">
                  <c:v>332161.03029999998</c:v>
                </c:pt>
                <c:pt idx="4">
                  <c:v>474429.15529999998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65-48E2-A9FA-DFC71EE9012E}"/>
            </c:ext>
          </c:extLst>
        </c:ser>
        <c:ser>
          <c:idx val="2"/>
          <c:order val="2"/>
          <c:tx>
            <c:strRef>
              <c:f>'Total Cost'!$A$4</c:f>
              <c:strCache>
                <c:ptCount val="1"/>
                <c:pt idx="0">
                  <c:v>ER = 0.5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'Total Cost'!$B$1:$F$1</c:f>
              <c:numCache>
                <c:formatCode>General</c:formatCode>
                <c:ptCount val="5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</c:numCache>
            </c:numRef>
          </c:cat>
          <c:val>
            <c:numRef>
              <c:f>'Total Cost'!$B$4:$F$4</c:f>
              <c:numCache>
                <c:formatCode>General</c:formatCode>
                <c:ptCount val="5"/>
                <c:pt idx="0">
                  <c:v>60884.573750000003</c:v>
                </c:pt>
                <c:pt idx="1">
                  <c:v>119608.8769</c:v>
                </c:pt>
                <c:pt idx="2">
                  <c:v>189403.4792</c:v>
                </c:pt>
                <c:pt idx="3">
                  <c:v>332161.03029999998</c:v>
                </c:pt>
                <c:pt idx="4">
                  <c:v>474429.15529999998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65-48E2-A9FA-DFC71EE90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739008"/>
        <c:axId val="1829727008"/>
      </c:barChart>
      <c:catAx>
        <c:axId val="182973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27008"/>
        <c:crosses val="autoZero"/>
        <c:auto val="1"/>
        <c:lblAlgn val="ctr"/>
        <c:lblOffset val="100"/>
        <c:noMultiLvlLbl val="0"/>
      </c:catAx>
      <c:valAx>
        <c:axId val="182972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973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472440</xdr:colOff>
      <xdr:row>8</xdr:row>
      <xdr:rowOff>171450</xdr:rowOff>
    </xdr:from>
    <xdr:to>
      <xdr:col>8</xdr:col>
      <xdr:colOff>236220</xdr:colOff>
      <xdr:row>23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CE7CA9-3CF7-753B-8EE3-7C9DE4683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7</xdr:row>
      <xdr:rowOff>34290</xdr:rowOff>
    </xdr:from>
    <xdr:to>
      <xdr:col>9</xdr:col>
      <xdr:colOff>297180</xdr:colOff>
      <xdr:row>22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DB91C-5213-F853-943F-9A255879AD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198120</xdr:colOff>
      <xdr:row>8</xdr:row>
      <xdr:rowOff>72390</xdr:rowOff>
    </xdr:from>
    <xdr:to>
      <xdr:col>11</xdr:col>
      <xdr:colOff>502920</xdr:colOff>
      <xdr:row>23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4B421-25C3-91BC-81C1-D26FE61CF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E20B5-BD67-F4A7-991B-FEC8BD4CD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9A3A-5EA4-4378-A07D-D6CAC5510456}">
  <dimension ref="A1:F4"/>
  <sheetViews>
    <sheetView workbookViewId="0">
      <selection activeCell="A2" sqref="A2:A4"/>
    </sheetView>
  </sheetViews>
  <sheetFormatPr defaultRowHeight="14.4" x14ac:dyDescent="0.3"/>
  <cols>
    <col min="1" max="1" width="10.77734375" bestFit="1" customWidth="1"/>
    <col min="2" max="2" width="6" bestFit="1" customWidth="1"/>
  </cols>
  <sheetData>
    <row r="1" spans="1:6" x14ac:dyDescent="0.3">
      <c r="A1" t="s">
        <v>0</v>
      </c>
      <c r="B1">
        <v>2025</v>
      </c>
      <c r="C1">
        <v>2026</v>
      </c>
      <c r="D1">
        <v>2027</v>
      </c>
      <c r="E1">
        <v>2028</v>
      </c>
      <c r="F1">
        <v>2029</v>
      </c>
    </row>
    <row r="2" spans="1:6" x14ac:dyDescent="0.3">
      <c r="A2" t="s">
        <v>1</v>
      </c>
      <c r="B2">
        <v>60000</v>
      </c>
      <c r="C2">
        <v>60000</v>
      </c>
      <c r="D2">
        <v>22870.073850000001</v>
      </c>
      <c r="E2">
        <v>2500</v>
      </c>
      <c r="F2">
        <v>0</v>
      </c>
    </row>
    <row r="3" spans="1:6" x14ac:dyDescent="0.3">
      <c r="A3" t="s">
        <v>2</v>
      </c>
      <c r="B3">
        <v>60000</v>
      </c>
      <c r="C3">
        <v>60000</v>
      </c>
      <c r="D3">
        <v>24090.586670000001</v>
      </c>
      <c r="E3">
        <v>2500</v>
      </c>
      <c r="F3">
        <v>0</v>
      </c>
    </row>
    <row r="4" spans="1:6" x14ac:dyDescent="0.3">
      <c r="A4" t="s">
        <v>3</v>
      </c>
      <c r="B4">
        <v>60000</v>
      </c>
      <c r="C4">
        <v>60000</v>
      </c>
      <c r="D4">
        <v>22870.073850000001</v>
      </c>
      <c r="E4">
        <v>2500</v>
      </c>
      <c r="F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A477-6AD2-4C31-850A-A1931322B5E1}">
  <dimension ref="A1:F4"/>
  <sheetViews>
    <sheetView workbookViewId="0">
      <selection activeCell="A2" sqref="A2:A4"/>
    </sheetView>
  </sheetViews>
  <sheetFormatPr defaultRowHeight="14.4" x14ac:dyDescent="0.3"/>
  <sheetData>
    <row r="1" spans="1:6" x14ac:dyDescent="0.3">
      <c r="A1" t="s">
        <v>0</v>
      </c>
      <c r="B1">
        <v>2025</v>
      </c>
      <c r="C1">
        <v>2026</v>
      </c>
      <c r="D1">
        <v>2027</v>
      </c>
      <c r="E1">
        <v>2028</v>
      </c>
      <c r="F1">
        <v>2029</v>
      </c>
    </row>
    <row r="2" spans="1:6" x14ac:dyDescent="0.3">
      <c r="A2" t="s">
        <v>1</v>
      </c>
      <c r="B2">
        <v>206691.9828</v>
      </c>
      <c r="C2">
        <v>310208.7905</v>
      </c>
      <c r="D2">
        <v>371196.38780000003</v>
      </c>
      <c r="E2">
        <v>425457.54330000002</v>
      </c>
      <c r="F2">
        <v>548727.16830000002</v>
      </c>
    </row>
    <row r="3" spans="1:6" x14ac:dyDescent="0.3">
      <c r="A3" t="s">
        <v>2</v>
      </c>
      <c r="B3">
        <v>23998.067449999999</v>
      </c>
      <c r="C3">
        <v>59731.713450000003</v>
      </c>
      <c r="D3">
        <v>166533.40530000001</v>
      </c>
      <c r="E3">
        <v>329661.03029999998</v>
      </c>
      <c r="F3">
        <v>474429.15529999998</v>
      </c>
    </row>
    <row r="4" spans="1:6" x14ac:dyDescent="0.3">
      <c r="A4" t="s">
        <v>3</v>
      </c>
      <c r="B4">
        <v>26507.442449999999</v>
      </c>
      <c r="C4">
        <v>59608.876909999999</v>
      </c>
      <c r="D4">
        <v>166533.40530000001</v>
      </c>
      <c r="E4">
        <v>329661.03029999998</v>
      </c>
      <c r="F4">
        <v>474429.15529999998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083C-6F5B-4B90-9C77-FC9A91018278}">
  <dimension ref="A1:F4"/>
  <sheetViews>
    <sheetView workbookViewId="0">
      <selection activeCell="A2" sqref="A2:A4"/>
    </sheetView>
  </sheetViews>
  <sheetFormatPr defaultRowHeight="14.4" x14ac:dyDescent="0.3"/>
  <cols>
    <col min="1" max="1" width="10.77734375" bestFit="1" customWidth="1"/>
  </cols>
  <sheetData>
    <row r="1" spans="1:6" x14ac:dyDescent="0.3">
      <c r="A1" t="s">
        <v>0</v>
      </c>
      <c r="B1">
        <v>2025</v>
      </c>
      <c r="C1">
        <v>2026</v>
      </c>
      <c r="D1">
        <v>2027</v>
      </c>
      <c r="E1">
        <v>2028</v>
      </c>
      <c r="F1">
        <v>2029</v>
      </c>
    </row>
    <row r="2" spans="1:6" x14ac:dyDescent="0.3">
      <c r="A2" t="s">
        <v>1</v>
      </c>
      <c r="B2">
        <v>231430.27780000001</v>
      </c>
      <c r="C2">
        <v>247526.1538</v>
      </c>
      <c r="D2">
        <v>186515</v>
      </c>
      <c r="E2">
        <v>95796.513000000006</v>
      </c>
      <c r="F2">
        <v>74298.013000000006</v>
      </c>
    </row>
    <row r="3" spans="1:6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t="s">
        <v>3</v>
      </c>
      <c r="B4">
        <v>25622.868699999999</v>
      </c>
      <c r="C4">
        <v>0</v>
      </c>
      <c r="D4">
        <v>0</v>
      </c>
      <c r="E4">
        <v>0</v>
      </c>
      <c r="F4" s="1">
        <v>8.2999999999999998E-12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87FF2-C8BA-4F2E-9D2C-B7A91BFA0CAE}">
  <dimension ref="A1:F4"/>
  <sheetViews>
    <sheetView tabSelected="1" workbookViewId="0">
      <selection activeCell="R12" sqref="R12"/>
    </sheetView>
  </sheetViews>
  <sheetFormatPr defaultRowHeight="14.4" x14ac:dyDescent="0.3"/>
  <sheetData>
    <row r="1" spans="1:6" x14ac:dyDescent="0.3">
      <c r="A1" t="s">
        <v>0</v>
      </c>
      <c r="B1">
        <v>2025</v>
      </c>
      <c r="C1">
        <v>2026</v>
      </c>
      <c r="D1">
        <v>2027</v>
      </c>
      <c r="E1">
        <v>2028</v>
      </c>
      <c r="F1">
        <v>2029</v>
      </c>
    </row>
    <row r="2" spans="1:6" x14ac:dyDescent="0.3">
      <c r="A2" t="s">
        <v>1</v>
      </c>
      <c r="B2">
        <v>35261.705049999997</v>
      </c>
      <c r="C2">
        <v>118295.6174</v>
      </c>
      <c r="D2">
        <v>187815.7292</v>
      </c>
      <c r="E2">
        <v>332161.03029999998</v>
      </c>
      <c r="F2">
        <v>474429.15529999998</v>
      </c>
    </row>
    <row r="3" spans="1:6" x14ac:dyDescent="0.3">
      <c r="A3" t="s">
        <v>2</v>
      </c>
      <c r="B3">
        <v>83998.067450000002</v>
      </c>
      <c r="C3">
        <v>119731.7135</v>
      </c>
      <c r="D3">
        <v>190623.992</v>
      </c>
      <c r="E3">
        <v>332161.03029999998</v>
      </c>
      <c r="F3">
        <v>474429.15529999998</v>
      </c>
    </row>
    <row r="4" spans="1:6" x14ac:dyDescent="0.3">
      <c r="A4" t="s">
        <v>3</v>
      </c>
      <c r="B4">
        <v>60884.573750000003</v>
      </c>
      <c r="C4">
        <v>119608.8769</v>
      </c>
      <c r="D4">
        <v>189403.4792</v>
      </c>
      <c r="E4">
        <v>332161.03029999998</v>
      </c>
      <c r="F4">
        <v>474429.15529999998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OPEX</vt:lpstr>
      <vt:lpstr>SOLAR EXPORT REVENUE (DIRECT)</vt:lpstr>
      <vt:lpstr>Total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Mruthunjay Mani</dc:creator>
  <cp:lastModifiedBy>Mruthunjay Mani</cp:lastModifiedBy>
  <dcterms:created xsi:type="dcterms:W3CDTF">2025-12-13T23:37:17Z</dcterms:created>
  <dcterms:modified xsi:type="dcterms:W3CDTF">2025-12-13T23:55:11Z</dcterms:modified>
</cp:coreProperties>
</file>