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ruthunjay Mani\MANAGEMENT SCIENCE\PROJECT\"/>
    </mc:Choice>
  </mc:AlternateContent>
  <xr:revisionPtr revIDLastSave="0" documentId="13_ncr:1_{858104A5-55C2-4509-AD45-C0335B8E912F}" xr6:coauthVersionLast="47" xr6:coauthVersionMax="47" xr10:uidLastSave="{00000000-0000-0000-0000-000000000000}"/>
  <bookViews>
    <workbookView xWindow="-108" yWindow="-108" windowWidth="23256" windowHeight="13896" xr2:uid="{6C7C4128-1FD6-4BAA-A5C9-3873CF32BC3A}"/>
  </bookViews>
  <sheets>
    <sheet name="Vehicle_data" sheetId="1" r:id="rId1"/>
    <sheet name="vehicleChargingData" sheetId="5" r:id="rId2"/>
    <sheet name="EnergyProfileData" sheetId="2" r:id="rId3"/>
    <sheet name="InfraProcurementCosts" sheetId="3" r:id="rId4"/>
    <sheet name="EnergyParameters" sheetId="4" r:id="rId5"/>
    <sheet name="Parameters" sheetId="8" r:id="rId6"/>
    <sheet name="YearlyCAPEXBudget" sheetId="9" r:id="rId7"/>
    <sheet name="KPI" sheetId="6" r:id="rId8"/>
  </sheets>
  <definedNames>
    <definedName name="_xlnm._FilterDatabase" localSheetId="0" hidden="1">Vehicle_data!$A$1:$E$101</definedName>
    <definedName name="_xlnm._FilterDatabase" localSheetId="1" hidden="1">vehicleChargingData!$A$1:$E$11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5" l="1"/>
  <c r="D10" i="5"/>
  <c r="D9" i="5"/>
  <c r="D8" i="5"/>
  <c r="D7" i="5"/>
  <c r="D2" i="5"/>
  <c r="D3" i="5"/>
  <c r="D4" i="5"/>
  <c r="D5" i="5"/>
  <c r="D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tc={70BA93DA-1A7E-4DD5-9FFF-C803523E4BD2}</author>
  </authors>
  <commentList>
    <comment ref="F14" authorId="0" shapeId="0" xr:uid="{70BA93DA-1A7E-4DD5-9FFF-C803523E4B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C-rate is a standard measure of how fast a battery can be safely charged or discharged relative to its energy capacity
Conversion_ratio - How many kWp of solar PV capacity you get per square meter of available roof/area
</t>
      </text>
    </comment>
  </commentList>
</comments>
</file>

<file path=xl/sharedStrings.xml><?xml version="1.0" encoding="utf-8"?>
<sst xmlns="http://schemas.openxmlformats.org/spreadsheetml/2006/main" count="259" uniqueCount="79">
  <si>
    <t>VehicleID</t>
  </si>
  <si>
    <t>TruckType</t>
  </si>
  <si>
    <t>Year</t>
  </si>
  <si>
    <t>DailyRange(Kms)</t>
  </si>
  <si>
    <t>ChargingSlot</t>
  </si>
  <si>
    <t>V001_2025</t>
  </si>
  <si>
    <t>6AM-12PM</t>
  </si>
  <si>
    <t>V002_2025</t>
  </si>
  <si>
    <t>12PM-6PM</t>
  </si>
  <si>
    <t>V003_2025</t>
  </si>
  <si>
    <t>6PM-12AM</t>
  </si>
  <si>
    <t>V004_2025</t>
  </si>
  <si>
    <t>12AM-6AM</t>
  </si>
  <si>
    <t>V005_2025</t>
  </si>
  <si>
    <t>V006_2025</t>
  </si>
  <si>
    <t>V007_2025</t>
  </si>
  <si>
    <t>V008_2025</t>
  </si>
  <si>
    <t>V009_2025</t>
  </si>
  <si>
    <t>V010_2025</t>
  </si>
  <si>
    <t>V011_2026</t>
  </si>
  <si>
    <t>V012_2026</t>
  </si>
  <si>
    <t>V013_2026</t>
  </si>
  <si>
    <t>V014_2026</t>
  </si>
  <si>
    <t>V015_2026</t>
  </si>
  <si>
    <t>V016_2027</t>
  </si>
  <si>
    <t>V017_2027</t>
  </si>
  <si>
    <t>V018_2027</t>
  </si>
  <si>
    <t>V019_2027</t>
  </si>
  <si>
    <t>V020_2027</t>
  </si>
  <si>
    <t>V021_2028</t>
  </si>
  <si>
    <t>V022_2028</t>
  </si>
  <si>
    <t>V023_2028</t>
  </si>
  <si>
    <t>V024_2028</t>
  </si>
  <si>
    <t>V025_2028</t>
  </si>
  <si>
    <t>V026_2029</t>
  </si>
  <si>
    <t>V027_2029</t>
  </si>
  <si>
    <t>V028_2029</t>
  </si>
  <si>
    <t>V029_2029</t>
  </si>
  <si>
    <t>V030_2029</t>
  </si>
  <si>
    <t>Range(Kms)</t>
  </si>
  <si>
    <t>VehicleBatteryCapacity(Kwh)</t>
  </si>
  <si>
    <t>FuelConsumption(Unit/km)</t>
  </si>
  <si>
    <t>Truck type 1</t>
  </si>
  <si>
    <t>Truck type 2</t>
  </si>
  <si>
    <t>CAPEXCost</t>
  </si>
  <si>
    <t>OPEXCost</t>
  </si>
  <si>
    <t>#50KWChargers</t>
  </si>
  <si>
    <t>#400KWChargers</t>
  </si>
  <si>
    <t>SolarCapacity</t>
  </si>
  <si>
    <t>BatteryCapacity</t>
  </si>
  <si>
    <t>SolarExportRevenue</t>
  </si>
  <si>
    <t>TotalCost</t>
  </si>
  <si>
    <t>SlotsOfDay</t>
  </si>
  <si>
    <t>BaseLoadConsumption(kWh)</t>
  </si>
  <si>
    <t>GridElectricityPrice (USD / kWh)</t>
  </si>
  <si>
    <t>SolarUnitsGeneration in Kwh/KwP</t>
  </si>
  <si>
    <t>12AM-6 AM</t>
  </si>
  <si>
    <t>6AM-12 PM</t>
  </si>
  <si>
    <t>NOTE: Solar units generated is funciton solar irradiation (kWoutput/kWp)</t>
  </si>
  <si>
    <t>NOTE: This data is for Average of the year. Multiply byy 365 for yearly numbers</t>
  </si>
  <si>
    <t>Pictorial represtation of solar plant of size 1 kWp</t>
  </si>
  <si>
    <t>Battery(USD/kWh)</t>
  </si>
  <si>
    <t>SolarPV(USD/kWp)</t>
  </si>
  <si>
    <t>Charger 50KW (USD/unit)</t>
  </si>
  <si>
    <t>Charger 400KW(USD/unit)</t>
  </si>
  <si>
    <t>Parameter</t>
  </si>
  <si>
    <t>Value</t>
  </si>
  <si>
    <t>BatteryEnergyCapacity</t>
  </si>
  <si>
    <t>C_Rate</t>
  </si>
  <si>
    <t>GridEnergyLimitsUpper</t>
  </si>
  <si>
    <t>PRESENT_SOLAR_CAPACITY</t>
  </si>
  <si>
    <t>AREA_AVAILABLE(sq.m2)</t>
  </si>
  <si>
    <t>CONVERSION_RATIO</t>
  </si>
  <si>
    <t>Parameters</t>
  </si>
  <si>
    <t>Charger_Option_1(Kw)</t>
  </si>
  <si>
    <t>Charger_Option_2(Kw)</t>
  </si>
  <si>
    <t>Planing_Horizon(years)</t>
  </si>
  <si>
    <t>YearlyCapex(USD)</t>
  </si>
  <si>
    <t>NOTE: This is the output format for KPIs related to optimal plan generated by math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</si>
</sst>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FFFF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03A1F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/>
    <xf numFmtId="0" fontId="0" fillId="3" borderId="2" xfId="0" applyFill="1" applyBorder="1"/>
    <xf numFmtId="0" fontId="0" fillId="0" borderId="2" xfId="0" applyBorder="1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2" xfId="0" applyFont="1" applyFill="1" applyBorder="1"/>
    <xf numFmtId="0" fontId="4" fillId="3" borderId="2" xfId="0" applyFont="1" applyFill="1" applyBorder="1"/>
    <xf numFmtId="0" fontId="1" fillId="3" borderId="3" xfId="0" applyFont="1" applyFill="1" applyBorder="1"/>
    <xf numFmtId="0" fontId="0" fillId="0" borderId="3" xfId="0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655320</xdr:colOff>
      <xdr:row>10</xdr:row>
      <xdr:rowOff>160020</xdr:rowOff>
    </xdr:from>
    <xdr:to>
      <xdr:col>2</xdr:col>
      <xdr:colOff>190500</xdr:colOff>
      <xdr:row>24</xdr:row>
      <xdr:rowOff>22860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2FC3D02-F73B-E72E-9F3A-31937A3FBA88}"/>
            </a:ext>
          </a:extLst>
        </xdr:cNvPr>
        <xdr:cNvSpPr/>
      </xdr:nvSpPr>
      <xdr:spPr>
        <a:xfrm>
          <a:off x="1386840" y="1988820"/>
          <a:ext cx="1485900" cy="2423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333</a:t>
          </a:r>
          <a:r>
            <a:rPr lang="en-IN" sz="1100" baseline="0"/>
            <a:t> Watts</a:t>
          </a:r>
        </a:p>
        <a:p>
          <a:pPr algn="l"/>
          <a:endParaRPr lang="en-IN" sz="1100" baseline="0"/>
        </a:p>
        <a:p>
          <a:pPr algn="l"/>
          <a:r>
            <a:rPr lang="en-IN" sz="1100" baseline="0"/>
            <a:t>Solar Panel 1</a:t>
          </a:r>
          <a:endParaRPr lang="en-IN" sz="1100"/>
        </a:p>
      </xdr:txBody>
    </xdr:sp>
    <xdr:clientData/>
  </xdr:twoCellAnchor>
  <xdr:twoCellAnchor>
    <xdr:from>
      <xdr:col>2</xdr:col>
      <xdr:colOff>342900</xdr:colOff>
      <xdr:row>10</xdr:row>
      <xdr:rowOff>152400</xdr:rowOff>
    </xdr:from>
    <xdr:to>
      <xdr:col>2</xdr:col>
      <xdr:colOff>1828800</xdr:colOff>
      <xdr:row>24</xdr:row>
      <xdr:rowOff>15240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4DBF8F8-2E74-4E4E-B6BC-60BC2863D08B}"/>
            </a:ext>
          </a:extLst>
        </xdr:cNvPr>
        <xdr:cNvSpPr/>
      </xdr:nvSpPr>
      <xdr:spPr>
        <a:xfrm>
          <a:off x="3025140" y="1981200"/>
          <a:ext cx="1485900" cy="2423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333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Watts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Solar Panel 2</a:t>
          </a:r>
          <a:endParaRPr lang="en-IN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76200</xdr:colOff>
      <xdr:row>10</xdr:row>
      <xdr:rowOff>175260</xdr:rowOff>
    </xdr:from>
    <xdr:to>
      <xdr:col>3</xdr:col>
      <xdr:colOff>1562100</xdr:colOff>
      <xdr:row>24</xdr:row>
      <xdr:rowOff>38100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10DCE4B-6053-4FD8-941A-B51C7E113222}"/>
            </a:ext>
          </a:extLst>
        </xdr:cNvPr>
        <xdr:cNvSpPr/>
      </xdr:nvSpPr>
      <xdr:spPr>
        <a:xfrm>
          <a:off x="4709160" y="2004060"/>
          <a:ext cx="1485900" cy="24231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333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Watts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Solar Panel 3</a:t>
          </a:r>
          <a:endParaRPr lang="en-IN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6043ACA8-7778-4B4B-BBA6-F6FBB16C9B6E}" userId="S::urn:spo:tenantanon#19e3cf18-820e-4e14-8589-72f62ed533f2::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4" dT="2025-11-19T10:04:42.54" personId="{6043ACA8-7778-4B4B-BBA6-F6FBB16C9B6E}" id="{70BA93DA-1A7E-4DD5-9FFF-C803523E4BD2}">
    <text xml:space="preserve">C-rate is a standard measure of how fast a battery can be safely charged or discharged relative to its energy capacity
Conversion_ratio - How many kWp of solar PV capacity you get per square meter of available roof/area
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E47A-F331-4606-B13B-747A6F5435B7}">
  <dimension ref="A1:E101"/>
  <sheetViews>
    <sheetView tabSelected="1" workbookViewId="0">
      <selection activeCell="J19" sqref="J19"/>
    </sheetView>
  </sheetViews>
  <sheetFormatPr defaultRowHeight="14.4" x14ac:dyDescent="0.3"/>
  <cols>
    <col min="1" max="1" width="13.44140625" customWidth="1"/>
    <col min="2" max="2" width="16.5546875" customWidth="1"/>
    <col min="3" max="3" width="14" customWidth="1"/>
    <col min="4" max="4" width="20.33203125" customWidth="1"/>
    <col min="5" max="5" width="24.88671875" customWidth="1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9" t="s">
        <v>5</v>
      </c>
      <c r="B2" s="9">
        <v>1</v>
      </c>
      <c r="C2" s="9">
        <v>2025</v>
      </c>
      <c r="D2" s="9">
        <v>250</v>
      </c>
      <c r="E2" s="9" t="s">
        <v>6</v>
      </c>
    </row>
    <row r="3" spans="1:5" x14ac:dyDescent="0.3">
      <c r="A3" s="9" t="s">
        <v>7</v>
      </c>
      <c r="B3" s="9">
        <v>1</v>
      </c>
      <c r="C3" s="9">
        <v>2025</v>
      </c>
      <c r="D3" s="9">
        <v>250</v>
      </c>
      <c r="E3" s="9" t="s">
        <v>8</v>
      </c>
    </row>
    <row r="4" spans="1:5" x14ac:dyDescent="0.3">
      <c r="A4" s="9" t="s">
        <v>9</v>
      </c>
      <c r="B4" s="9">
        <v>1</v>
      </c>
      <c r="C4" s="9">
        <v>2025</v>
      </c>
      <c r="D4" s="9">
        <v>250</v>
      </c>
      <c r="E4" s="9" t="s">
        <v>10</v>
      </c>
    </row>
    <row r="5" spans="1:5" x14ac:dyDescent="0.3">
      <c r="A5" s="9" t="s">
        <v>11</v>
      </c>
      <c r="B5" s="9">
        <v>1</v>
      </c>
      <c r="C5" s="9">
        <v>2025</v>
      </c>
      <c r="D5" s="9">
        <v>250</v>
      </c>
      <c r="E5" s="9" t="s">
        <v>12</v>
      </c>
    </row>
    <row r="6" spans="1:5" x14ac:dyDescent="0.3">
      <c r="A6" s="9" t="s">
        <v>13</v>
      </c>
      <c r="B6" s="9">
        <v>2</v>
      </c>
      <c r="C6" s="9">
        <v>2025</v>
      </c>
      <c r="D6" s="9">
        <v>280</v>
      </c>
      <c r="E6" s="9" t="s">
        <v>6</v>
      </c>
    </row>
    <row r="7" spans="1:5" x14ac:dyDescent="0.3">
      <c r="A7" s="9" t="s">
        <v>14</v>
      </c>
      <c r="B7" s="9">
        <v>2</v>
      </c>
      <c r="C7" s="9">
        <v>2025</v>
      </c>
      <c r="D7" s="9">
        <v>280</v>
      </c>
      <c r="E7" s="9" t="s">
        <v>8</v>
      </c>
    </row>
    <row r="8" spans="1:5" x14ac:dyDescent="0.3">
      <c r="A8" s="9" t="s">
        <v>15</v>
      </c>
      <c r="B8" s="9">
        <v>2</v>
      </c>
      <c r="C8" s="9">
        <v>2025</v>
      </c>
      <c r="D8" s="9">
        <v>280</v>
      </c>
      <c r="E8" s="9" t="s">
        <v>10</v>
      </c>
    </row>
    <row r="9" spans="1:5" x14ac:dyDescent="0.3">
      <c r="A9" s="9" t="s">
        <v>16</v>
      </c>
      <c r="B9" s="9">
        <v>2</v>
      </c>
      <c r="C9" s="9">
        <v>2025</v>
      </c>
      <c r="D9" s="9">
        <v>280</v>
      </c>
      <c r="E9" s="9" t="s">
        <v>12</v>
      </c>
    </row>
    <row r="10" spans="1:5" x14ac:dyDescent="0.3">
      <c r="A10" s="9" t="s">
        <v>17</v>
      </c>
      <c r="B10" s="9">
        <v>1</v>
      </c>
      <c r="C10" s="9">
        <v>2025</v>
      </c>
      <c r="D10" s="9">
        <v>250</v>
      </c>
      <c r="E10" s="9" t="s">
        <v>6</v>
      </c>
    </row>
    <row r="11" spans="1:5" x14ac:dyDescent="0.3">
      <c r="A11" s="9" t="s">
        <v>18</v>
      </c>
      <c r="B11" s="9">
        <v>2</v>
      </c>
      <c r="C11" s="9">
        <v>2025</v>
      </c>
      <c r="D11" s="9">
        <v>280</v>
      </c>
      <c r="E11" s="9" t="s">
        <v>8</v>
      </c>
    </row>
    <row r="12" spans="1:5" x14ac:dyDescent="0.3">
      <c r="A12" s="9" t="s">
        <v>5</v>
      </c>
      <c r="B12" s="9">
        <v>1</v>
      </c>
      <c r="C12" s="9">
        <v>2026</v>
      </c>
      <c r="D12" s="9">
        <v>250</v>
      </c>
      <c r="E12" s="9" t="s">
        <v>6</v>
      </c>
    </row>
    <row r="13" spans="1:5" x14ac:dyDescent="0.3">
      <c r="A13" s="9" t="s">
        <v>7</v>
      </c>
      <c r="B13" s="9">
        <v>1</v>
      </c>
      <c r="C13" s="9">
        <v>2026</v>
      </c>
      <c r="D13" s="9">
        <v>250</v>
      </c>
      <c r="E13" s="9" t="s">
        <v>8</v>
      </c>
    </row>
    <row r="14" spans="1:5" x14ac:dyDescent="0.3">
      <c r="A14" s="9" t="s">
        <v>9</v>
      </c>
      <c r="B14" s="9">
        <v>1</v>
      </c>
      <c r="C14" s="9">
        <v>2026</v>
      </c>
      <c r="D14" s="9">
        <v>250</v>
      </c>
      <c r="E14" s="9" t="s">
        <v>10</v>
      </c>
    </row>
    <row r="15" spans="1:5" x14ac:dyDescent="0.3">
      <c r="A15" s="9" t="s">
        <v>11</v>
      </c>
      <c r="B15" s="9">
        <v>1</v>
      </c>
      <c r="C15" s="9">
        <v>2026</v>
      </c>
      <c r="D15" s="9">
        <v>250</v>
      </c>
      <c r="E15" s="9" t="s">
        <v>12</v>
      </c>
    </row>
    <row r="16" spans="1:5" x14ac:dyDescent="0.3">
      <c r="A16" s="9" t="s">
        <v>13</v>
      </c>
      <c r="B16" s="9">
        <v>2</v>
      </c>
      <c r="C16" s="9">
        <v>2026</v>
      </c>
      <c r="D16" s="9">
        <v>280</v>
      </c>
      <c r="E16" s="9" t="s">
        <v>6</v>
      </c>
    </row>
    <row r="17" spans="1:5" x14ac:dyDescent="0.3">
      <c r="A17" s="9" t="s">
        <v>14</v>
      </c>
      <c r="B17" s="9">
        <v>2</v>
      </c>
      <c r="C17" s="9">
        <v>2026</v>
      </c>
      <c r="D17" s="9">
        <v>280</v>
      </c>
      <c r="E17" s="9" t="s">
        <v>8</v>
      </c>
    </row>
    <row r="18" spans="1:5" x14ac:dyDescent="0.3">
      <c r="A18" s="9" t="s">
        <v>15</v>
      </c>
      <c r="B18" s="9">
        <v>2</v>
      </c>
      <c r="C18" s="9">
        <v>2026</v>
      </c>
      <c r="D18" s="9">
        <v>280</v>
      </c>
      <c r="E18" s="9" t="s">
        <v>10</v>
      </c>
    </row>
    <row r="19" spans="1:5" x14ac:dyDescent="0.3">
      <c r="A19" s="9" t="s">
        <v>16</v>
      </c>
      <c r="B19" s="9">
        <v>2</v>
      </c>
      <c r="C19" s="9">
        <v>2026</v>
      </c>
      <c r="D19" s="9">
        <v>280</v>
      </c>
      <c r="E19" s="9" t="s">
        <v>12</v>
      </c>
    </row>
    <row r="20" spans="1:5" x14ac:dyDescent="0.3">
      <c r="A20" s="9" t="s">
        <v>17</v>
      </c>
      <c r="B20" s="9">
        <v>1</v>
      </c>
      <c r="C20" s="9">
        <v>2026</v>
      </c>
      <c r="D20" s="9">
        <v>250</v>
      </c>
      <c r="E20" s="9" t="s">
        <v>6</v>
      </c>
    </row>
    <row r="21" spans="1:5" x14ac:dyDescent="0.3">
      <c r="A21" s="9" t="s">
        <v>18</v>
      </c>
      <c r="B21" s="9">
        <v>2</v>
      </c>
      <c r="C21" s="9">
        <v>2026</v>
      </c>
      <c r="D21" s="9">
        <v>280</v>
      </c>
      <c r="E21" s="9" t="s">
        <v>6</v>
      </c>
    </row>
    <row r="22" spans="1:5" x14ac:dyDescent="0.3">
      <c r="A22" s="9" t="s">
        <v>19</v>
      </c>
      <c r="B22" s="9">
        <v>1</v>
      </c>
      <c r="C22" s="9">
        <v>2026</v>
      </c>
      <c r="D22" s="9">
        <v>270</v>
      </c>
      <c r="E22" s="9" t="s">
        <v>8</v>
      </c>
    </row>
    <row r="23" spans="1:5" x14ac:dyDescent="0.3">
      <c r="A23" s="9" t="s">
        <v>20</v>
      </c>
      <c r="B23" s="9">
        <v>1</v>
      </c>
      <c r="C23" s="9">
        <v>2026</v>
      </c>
      <c r="D23" s="9">
        <v>270</v>
      </c>
      <c r="E23" s="9" t="s">
        <v>6</v>
      </c>
    </row>
    <row r="24" spans="1:5" x14ac:dyDescent="0.3">
      <c r="A24" s="9" t="s">
        <v>21</v>
      </c>
      <c r="B24" s="9">
        <v>1</v>
      </c>
      <c r="C24" s="9">
        <v>2026</v>
      </c>
      <c r="D24" s="9">
        <v>270</v>
      </c>
      <c r="E24" s="9" t="s">
        <v>8</v>
      </c>
    </row>
    <row r="25" spans="1:5" x14ac:dyDescent="0.3">
      <c r="A25" s="9" t="s">
        <v>22</v>
      </c>
      <c r="B25" s="9">
        <v>1</v>
      </c>
      <c r="C25" s="9">
        <v>2026</v>
      </c>
      <c r="D25" s="9">
        <v>270</v>
      </c>
      <c r="E25" s="9" t="s">
        <v>10</v>
      </c>
    </row>
    <row r="26" spans="1:5" x14ac:dyDescent="0.3">
      <c r="A26" s="9" t="s">
        <v>23</v>
      </c>
      <c r="B26" s="9">
        <v>2</v>
      </c>
      <c r="C26" s="9">
        <v>2026</v>
      </c>
      <c r="D26" s="9">
        <v>300</v>
      </c>
      <c r="E26" s="9" t="s">
        <v>8</v>
      </c>
    </row>
    <row r="27" spans="1:5" x14ac:dyDescent="0.3">
      <c r="A27" s="9" t="s">
        <v>5</v>
      </c>
      <c r="B27" s="9">
        <v>1</v>
      </c>
      <c r="C27" s="9">
        <v>2027</v>
      </c>
      <c r="D27" s="9">
        <v>250</v>
      </c>
      <c r="E27" s="9" t="s">
        <v>6</v>
      </c>
    </row>
    <row r="28" spans="1:5" x14ac:dyDescent="0.3">
      <c r="A28" s="9" t="s">
        <v>7</v>
      </c>
      <c r="B28" s="9">
        <v>1</v>
      </c>
      <c r="C28" s="9">
        <v>2027</v>
      </c>
      <c r="D28" s="9">
        <v>250</v>
      </c>
      <c r="E28" s="9" t="s">
        <v>8</v>
      </c>
    </row>
    <row r="29" spans="1:5" x14ac:dyDescent="0.3">
      <c r="A29" s="9" t="s">
        <v>9</v>
      </c>
      <c r="B29" s="9">
        <v>1</v>
      </c>
      <c r="C29" s="9">
        <v>2027</v>
      </c>
      <c r="D29" s="9">
        <v>250</v>
      </c>
      <c r="E29" s="9" t="s">
        <v>10</v>
      </c>
    </row>
    <row r="30" spans="1:5" x14ac:dyDescent="0.3">
      <c r="A30" s="9" t="s">
        <v>11</v>
      </c>
      <c r="B30" s="9">
        <v>1</v>
      </c>
      <c r="C30" s="9">
        <v>2027</v>
      </c>
      <c r="D30" s="9">
        <v>250</v>
      </c>
      <c r="E30" s="9" t="s">
        <v>12</v>
      </c>
    </row>
    <row r="31" spans="1:5" x14ac:dyDescent="0.3">
      <c r="A31" s="9" t="s">
        <v>13</v>
      </c>
      <c r="B31" s="9">
        <v>2</v>
      </c>
      <c r="C31" s="9">
        <v>2027</v>
      </c>
      <c r="D31" s="9">
        <v>280</v>
      </c>
      <c r="E31" s="9" t="s">
        <v>6</v>
      </c>
    </row>
    <row r="32" spans="1:5" x14ac:dyDescent="0.3">
      <c r="A32" s="9" t="s">
        <v>14</v>
      </c>
      <c r="B32" s="9">
        <v>2</v>
      </c>
      <c r="C32" s="9">
        <v>2027</v>
      </c>
      <c r="D32" s="9">
        <v>280</v>
      </c>
      <c r="E32" s="9" t="s">
        <v>8</v>
      </c>
    </row>
    <row r="33" spans="1:5" x14ac:dyDescent="0.3">
      <c r="A33" s="9" t="s">
        <v>15</v>
      </c>
      <c r="B33" s="9">
        <v>2</v>
      </c>
      <c r="C33" s="9">
        <v>2027</v>
      </c>
      <c r="D33" s="9">
        <v>280</v>
      </c>
      <c r="E33" s="9" t="s">
        <v>10</v>
      </c>
    </row>
    <row r="34" spans="1:5" x14ac:dyDescent="0.3">
      <c r="A34" s="9" t="s">
        <v>16</v>
      </c>
      <c r="B34" s="9">
        <v>2</v>
      </c>
      <c r="C34" s="9">
        <v>2027</v>
      </c>
      <c r="D34" s="9">
        <v>280</v>
      </c>
      <c r="E34" s="9" t="s">
        <v>12</v>
      </c>
    </row>
    <row r="35" spans="1:5" x14ac:dyDescent="0.3">
      <c r="A35" s="9" t="s">
        <v>17</v>
      </c>
      <c r="B35" s="9">
        <v>1</v>
      </c>
      <c r="C35" s="9">
        <v>2027</v>
      </c>
      <c r="D35" s="9">
        <v>250</v>
      </c>
      <c r="E35" s="9" t="s">
        <v>6</v>
      </c>
    </row>
    <row r="36" spans="1:5" x14ac:dyDescent="0.3">
      <c r="A36" s="9" t="s">
        <v>18</v>
      </c>
      <c r="B36" s="9">
        <v>2</v>
      </c>
      <c r="C36" s="9">
        <v>2027</v>
      </c>
      <c r="D36" s="9">
        <v>280</v>
      </c>
      <c r="E36" s="9" t="s">
        <v>8</v>
      </c>
    </row>
    <row r="37" spans="1:5" x14ac:dyDescent="0.3">
      <c r="A37" s="9" t="s">
        <v>19</v>
      </c>
      <c r="B37" s="9">
        <v>1</v>
      </c>
      <c r="C37" s="9">
        <v>2027</v>
      </c>
      <c r="D37" s="9">
        <v>270</v>
      </c>
      <c r="E37" s="9" t="s">
        <v>6</v>
      </c>
    </row>
    <row r="38" spans="1:5" x14ac:dyDescent="0.3">
      <c r="A38" s="9" t="s">
        <v>20</v>
      </c>
      <c r="B38" s="9">
        <v>1</v>
      </c>
      <c r="C38" s="9">
        <v>2027</v>
      </c>
      <c r="D38" s="9">
        <v>270</v>
      </c>
      <c r="E38" s="9" t="s">
        <v>8</v>
      </c>
    </row>
    <row r="39" spans="1:5" x14ac:dyDescent="0.3">
      <c r="A39" s="9" t="s">
        <v>21</v>
      </c>
      <c r="B39" s="9">
        <v>1</v>
      </c>
      <c r="C39" s="9">
        <v>2027</v>
      </c>
      <c r="D39" s="9">
        <v>270</v>
      </c>
      <c r="E39" s="9" t="s">
        <v>10</v>
      </c>
    </row>
    <row r="40" spans="1:5" x14ac:dyDescent="0.3">
      <c r="A40" s="9" t="s">
        <v>22</v>
      </c>
      <c r="B40" s="9">
        <v>1</v>
      </c>
      <c r="C40" s="9">
        <v>2027</v>
      </c>
      <c r="D40" s="9">
        <v>270</v>
      </c>
      <c r="E40" s="9" t="s">
        <v>12</v>
      </c>
    </row>
    <row r="41" spans="1:5" x14ac:dyDescent="0.3">
      <c r="A41" s="9" t="s">
        <v>23</v>
      </c>
      <c r="B41" s="9">
        <v>2</v>
      </c>
      <c r="C41" s="9">
        <v>2027</v>
      </c>
      <c r="D41" s="9">
        <v>300</v>
      </c>
      <c r="E41" s="9" t="s">
        <v>6</v>
      </c>
    </row>
    <row r="42" spans="1:5" x14ac:dyDescent="0.3">
      <c r="A42" s="9" t="s">
        <v>24</v>
      </c>
      <c r="B42" s="9">
        <v>2</v>
      </c>
      <c r="C42" s="9">
        <v>2027</v>
      </c>
      <c r="D42" s="9">
        <v>320</v>
      </c>
      <c r="E42" s="9" t="s">
        <v>8</v>
      </c>
    </row>
    <row r="43" spans="1:5" x14ac:dyDescent="0.3">
      <c r="A43" s="9" t="s">
        <v>25</v>
      </c>
      <c r="B43" s="9">
        <v>2</v>
      </c>
      <c r="C43" s="9">
        <v>2027</v>
      </c>
      <c r="D43" s="9">
        <v>320</v>
      </c>
      <c r="E43" s="9" t="s">
        <v>10</v>
      </c>
    </row>
    <row r="44" spans="1:5" x14ac:dyDescent="0.3">
      <c r="A44" s="9" t="s">
        <v>26</v>
      </c>
      <c r="B44" s="9">
        <v>2</v>
      </c>
      <c r="C44" s="9">
        <v>2027</v>
      </c>
      <c r="D44" s="9">
        <v>320</v>
      </c>
      <c r="E44" s="9" t="s">
        <v>12</v>
      </c>
    </row>
    <row r="45" spans="1:5" x14ac:dyDescent="0.3">
      <c r="A45" s="9" t="s">
        <v>27</v>
      </c>
      <c r="B45" s="9">
        <v>1</v>
      </c>
      <c r="C45" s="9">
        <v>2027</v>
      </c>
      <c r="D45" s="9">
        <v>290</v>
      </c>
      <c r="E45" s="9" t="s">
        <v>6</v>
      </c>
    </row>
    <row r="46" spans="1:5" x14ac:dyDescent="0.3">
      <c r="A46" s="9" t="s">
        <v>28</v>
      </c>
      <c r="B46" s="9">
        <v>2</v>
      </c>
      <c r="C46" s="9">
        <v>2027</v>
      </c>
      <c r="D46" s="9">
        <v>320</v>
      </c>
      <c r="E46" s="9" t="s">
        <v>6</v>
      </c>
    </row>
    <row r="47" spans="1:5" x14ac:dyDescent="0.3">
      <c r="A47" s="9" t="s">
        <v>5</v>
      </c>
      <c r="B47" s="9">
        <v>1</v>
      </c>
      <c r="C47" s="9">
        <v>2028</v>
      </c>
      <c r="D47" s="9">
        <v>250</v>
      </c>
      <c r="E47" s="9" t="s">
        <v>8</v>
      </c>
    </row>
    <row r="48" spans="1:5" x14ac:dyDescent="0.3">
      <c r="A48" s="9" t="s">
        <v>7</v>
      </c>
      <c r="B48" s="9">
        <v>1</v>
      </c>
      <c r="C48" s="9">
        <v>2028</v>
      </c>
      <c r="D48" s="9">
        <v>250</v>
      </c>
      <c r="E48" s="9" t="s">
        <v>6</v>
      </c>
    </row>
    <row r="49" spans="1:5" x14ac:dyDescent="0.3">
      <c r="A49" s="9" t="s">
        <v>9</v>
      </c>
      <c r="B49" s="9">
        <v>1</v>
      </c>
      <c r="C49" s="9">
        <v>2028</v>
      </c>
      <c r="D49" s="9">
        <v>250</v>
      </c>
      <c r="E49" s="9" t="s">
        <v>8</v>
      </c>
    </row>
    <row r="50" spans="1:5" x14ac:dyDescent="0.3">
      <c r="A50" s="9" t="s">
        <v>11</v>
      </c>
      <c r="B50" s="9">
        <v>1</v>
      </c>
      <c r="C50" s="9">
        <v>2028</v>
      </c>
      <c r="D50" s="9">
        <v>250</v>
      </c>
      <c r="E50" s="9" t="s">
        <v>10</v>
      </c>
    </row>
    <row r="51" spans="1:5" x14ac:dyDescent="0.3">
      <c r="A51" s="9" t="s">
        <v>13</v>
      </c>
      <c r="B51" s="9">
        <v>2</v>
      </c>
      <c r="C51" s="9">
        <v>2028</v>
      </c>
      <c r="D51" s="9">
        <v>280</v>
      </c>
      <c r="E51" s="9" t="s">
        <v>8</v>
      </c>
    </row>
    <row r="52" spans="1:5" x14ac:dyDescent="0.3">
      <c r="A52" s="9" t="s">
        <v>14</v>
      </c>
      <c r="B52" s="9">
        <v>1</v>
      </c>
      <c r="C52" s="9">
        <v>2028</v>
      </c>
      <c r="D52" s="9">
        <v>250</v>
      </c>
      <c r="E52" s="9" t="s">
        <v>6</v>
      </c>
    </row>
    <row r="53" spans="1:5" x14ac:dyDescent="0.3">
      <c r="A53" s="9" t="s">
        <v>15</v>
      </c>
      <c r="B53" s="9">
        <v>1</v>
      </c>
      <c r="C53" s="9">
        <v>2028</v>
      </c>
      <c r="D53" s="9">
        <v>250</v>
      </c>
      <c r="E53" s="9" t="s">
        <v>8</v>
      </c>
    </row>
    <row r="54" spans="1:5" x14ac:dyDescent="0.3">
      <c r="A54" s="9" t="s">
        <v>16</v>
      </c>
      <c r="B54" s="9">
        <v>1</v>
      </c>
      <c r="C54" s="9">
        <v>2028</v>
      </c>
      <c r="D54" s="9">
        <v>250</v>
      </c>
      <c r="E54" s="9" t="s">
        <v>10</v>
      </c>
    </row>
    <row r="55" spans="1:5" x14ac:dyDescent="0.3">
      <c r="A55" s="9" t="s">
        <v>17</v>
      </c>
      <c r="B55" s="9">
        <v>1</v>
      </c>
      <c r="C55" s="9">
        <v>2028</v>
      </c>
      <c r="D55" s="9">
        <v>250</v>
      </c>
      <c r="E55" s="9" t="s">
        <v>12</v>
      </c>
    </row>
    <row r="56" spans="1:5" x14ac:dyDescent="0.3">
      <c r="A56" s="9" t="s">
        <v>18</v>
      </c>
      <c r="B56" s="9">
        <v>2</v>
      </c>
      <c r="C56" s="9">
        <v>2028</v>
      </c>
      <c r="D56" s="9">
        <v>300</v>
      </c>
      <c r="E56" s="9" t="s">
        <v>6</v>
      </c>
    </row>
    <row r="57" spans="1:5" x14ac:dyDescent="0.3">
      <c r="A57" s="9" t="s">
        <v>19</v>
      </c>
      <c r="B57" s="9">
        <v>2</v>
      </c>
      <c r="C57" s="9">
        <v>2028</v>
      </c>
      <c r="D57" s="9">
        <v>300</v>
      </c>
      <c r="E57" s="9" t="s">
        <v>8</v>
      </c>
    </row>
    <row r="58" spans="1:5" x14ac:dyDescent="0.3">
      <c r="A58" s="9" t="s">
        <v>20</v>
      </c>
      <c r="B58" s="9">
        <v>2</v>
      </c>
      <c r="C58" s="9">
        <v>2028</v>
      </c>
      <c r="D58" s="9">
        <v>300</v>
      </c>
      <c r="E58" s="9" t="s">
        <v>10</v>
      </c>
    </row>
    <row r="59" spans="1:5" x14ac:dyDescent="0.3">
      <c r="A59" s="9" t="s">
        <v>21</v>
      </c>
      <c r="B59" s="9">
        <v>2</v>
      </c>
      <c r="C59" s="9">
        <v>2028</v>
      </c>
      <c r="D59" s="9">
        <v>300</v>
      </c>
      <c r="E59" s="9" t="s">
        <v>12</v>
      </c>
    </row>
    <row r="60" spans="1:5" x14ac:dyDescent="0.3">
      <c r="A60" s="9" t="s">
        <v>22</v>
      </c>
      <c r="B60" s="9">
        <v>1</v>
      </c>
      <c r="C60" s="9">
        <v>2028</v>
      </c>
      <c r="D60" s="9">
        <v>270</v>
      </c>
      <c r="E60" s="9" t="s">
        <v>6</v>
      </c>
    </row>
    <row r="61" spans="1:5" x14ac:dyDescent="0.3">
      <c r="A61" s="9" t="s">
        <v>23</v>
      </c>
      <c r="B61" s="9">
        <v>2</v>
      </c>
      <c r="C61" s="9">
        <v>2028</v>
      </c>
      <c r="D61" s="9">
        <v>300</v>
      </c>
      <c r="E61" s="9" t="s">
        <v>8</v>
      </c>
    </row>
    <row r="62" spans="1:5" x14ac:dyDescent="0.3">
      <c r="A62" s="9" t="s">
        <v>24</v>
      </c>
      <c r="B62" s="9">
        <v>1</v>
      </c>
      <c r="C62" s="9">
        <v>2028</v>
      </c>
      <c r="D62" s="9">
        <v>290</v>
      </c>
      <c r="E62" s="9" t="s">
        <v>6</v>
      </c>
    </row>
    <row r="63" spans="1:5" x14ac:dyDescent="0.3">
      <c r="A63" s="9" t="s">
        <v>25</v>
      </c>
      <c r="B63" s="9">
        <v>1</v>
      </c>
      <c r="C63" s="9">
        <v>2028</v>
      </c>
      <c r="D63" s="9">
        <v>290</v>
      </c>
      <c r="E63" s="9" t="s">
        <v>8</v>
      </c>
    </row>
    <row r="64" spans="1:5" x14ac:dyDescent="0.3">
      <c r="A64" s="9" t="s">
        <v>26</v>
      </c>
      <c r="B64" s="9">
        <v>1</v>
      </c>
      <c r="C64" s="9">
        <v>2028</v>
      </c>
      <c r="D64" s="9">
        <v>290</v>
      </c>
      <c r="E64" s="9" t="s">
        <v>10</v>
      </c>
    </row>
    <row r="65" spans="1:5" x14ac:dyDescent="0.3">
      <c r="A65" s="9" t="s">
        <v>27</v>
      </c>
      <c r="B65" s="9">
        <v>1</v>
      </c>
      <c r="C65" s="9">
        <v>2028</v>
      </c>
      <c r="D65" s="9">
        <v>290</v>
      </c>
      <c r="E65" s="9" t="s">
        <v>12</v>
      </c>
    </row>
    <row r="66" spans="1:5" x14ac:dyDescent="0.3">
      <c r="A66" s="9" t="s">
        <v>28</v>
      </c>
      <c r="B66" s="9">
        <v>2</v>
      </c>
      <c r="C66" s="9">
        <v>2028</v>
      </c>
      <c r="D66" s="9">
        <v>320</v>
      </c>
      <c r="E66" s="9" t="s">
        <v>6</v>
      </c>
    </row>
    <row r="67" spans="1:5" x14ac:dyDescent="0.3">
      <c r="A67" s="9" t="s">
        <v>29</v>
      </c>
      <c r="B67" s="9">
        <v>2</v>
      </c>
      <c r="C67" s="9">
        <v>2028</v>
      </c>
      <c r="D67" s="9">
        <v>340</v>
      </c>
      <c r="E67" s="9" t="s">
        <v>8</v>
      </c>
    </row>
    <row r="68" spans="1:5" x14ac:dyDescent="0.3">
      <c r="A68" s="9" t="s">
        <v>30</v>
      </c>
      <c r="B68" s="9">
        <v>2</v>
      </c>
      <c r="C68" s="9">
        <v>2028</v>
      </c>
      <c r="D68" s="9">
        <v>340</v>
      </c>
      <c r="E68" s="9" t="s">
        <v>10</v>
      </c>
    </row>
    <row r="69" spans="1:5" x14ac:dyDescent="0.3">
      <c r="A69" s="9" t="s">
        <v>31</v>
      </c>
      <c r="B69" s="9">
        <v>2</v>
      </c>
      <c r="C69" s="9">
        <v>2028</v>
      </c>
      <c r="D69" s="9">
        <v>340</v>
      </c>
      <c r="E69" s="9" t="s">
        <v>12</v>
      </c>
    </row>
    <row r="70" spans="1:5" x14ac:dyDescent="0.3">
      <c r="A70" s="9" t="s">
        <v>32</v>
      </c>
      <c r="B70" s="9">
        <v>1</v>
      </c>
      <c r="C70" s="9">
        <v>2028</v>
      </c>
      <c r="D70" s="9">
        <v>310</v>
      </c>
      <c r="E70" s="9" t="s">
        <v>6</v>
      </c>
    </row>
    <row r="71" spans="1:5" x14ac:dyDescent="0.3">
      <c r="A71" s="9" t="s">
        <v>33</v>
      </c>
      <c r="B71" s="9">
        <v>2</v>
      </c>
      <c r="C71" s="9">
        <v>2028</v>
      </c>
      <c r="D71" s="9">
        <v>340</v>
      </c>
      <c r="E71" s="9" t="s">
        <v>6</v>
      </c>
    </row>
    <row r="72" spans="1:5" x14ac:dyDescent="0.3">
      <c r="A72" s="9" t="s">
        <v>5</v>
      </c>
      <c r="B72" s="9">
        <v>1</v>
      </c>
      <c r="C72" s="9">
        <v>2029</v>
      </c>
      <c r="D72" s="9">
        <v>250</v>
      </c>
      <c r="E72" s="9" t="s">
        <v>8</v>
      </c>
    </row>
    <row r="73" spans="1:5" x14ac:dyDescent="0.3">
      <c r="A73" s="9" t="s">
        <v>7</v>
      </c>
      <c r="B73" s="9">
        <v>1</v>
      </c>
      <c r="C73" s="9">
        <v>2029</v>
      </c>
      <c r="D73" s="9">
        <v>250</v>
      </c>
      <c r="E73" s="9" t="s">
        <v>6</v>
      </c>
    </row>
    <row r="74" spans="1:5" x14ac:dyDescent="0.3">
      <c r="A74" s="9" t="s">
        <v>9</v>
      </c>
      <c r="B74" s="9">
        <v>1</v>
      </c>
      <c r="C74" s="9">
        <v>2029</v>
      </c>
      <c r="D74" s="9">
        <v>250</v>
      </c>
      <c r="E74" s="9" t="s">
        <v>8</v>
      </c>
    </row>
    <row r="75" spans="1:5" x14ac:dyDescent="0.3">
      <c r="A75" s="9" t="s">
        <v>11</v>
      </c>
      <c r="B75" s="9">
        <v>1</v>
      </c>
      <c r="C75" s="9">
        <v>2029</v>
      </c>
      <c r="D75" s="9">
        <v>250</v>
      </c>
      <c r="E75" s="9" t="s">
        <v>10</v>
      </c>
    </row>
    <row r="76" spans="1:5" x14ac:dyDescent="0.3">
      <c r="A76" s="9" t="s">
        <v>13</v>
      </c>
      <c r="B76" s="9">
        <v>2</v>
      </c>
      <c r="C76" s="9">
        <v>2029</v>
      </c>
      <c r="D76" s="9">
        <v>280</v>
      </c>
      <c r="E76" s="9" t="s">
        <v>8</v>
      </c>
    </row>
    <row r="77" spans="1:5" x14ac:dyDescent="0.3">
      <c r="A77" s="9" t="s">
        <v>14</v>
      </c>
      <c r="B77" s="9">
        <v>1</v>
      </c>
      <c r="C77" s="9">
        <v>2029</v>
      </c>
      <c r="D77" s="9">
        <v>250</v>
      </c>
      <c r="E77" s="9" t="s">
        <v>6</v>
      </c>
    </row>
    <row r="78" spans="1:5" x14ac:dyDescent="0.3">
      <c r="A78" s="9" t="s">
        <v>15</v>
      </c>
      <c r="B78" s="9">
        <v>1</v>
      </c>
      <c r="C78" s="9">
        <v>2029</v>
      </c>
      <c r="D78" s="9">
        <v>250</v>
      </c>
      <c r="E78" s="9" t="s">
        <v>8</v>
      </c>
    </row>
    <row r="79" spans="1:5" x14ac:dyDescent="0.3">
      <c r="A79" s="9" t="s">
        <v>16</v>
      </c>
      <c r="B79" s="9">
        <v>1</v>
      </c>
      <c r="C79" s="9">
        <v>2029</v>
      </c>
      <c r="D79" s="9">
        <v>250</v>
      </c>
      <c r="E79" s="9" t="s">
        <v>10</v>
      </c>
    </row>
    <row r="80" spans="1:5" x14ac:dyDescent="0.3">
      <c r="A80" s="9" t="s">
        <v>17</v>
      </c>
      <c r="B80" s="9">
        <v>1</v>
      </c>
      <c r="C80" s="9">
        <v>2029</v>
      </c>
      <c r="D80" s="9">
        <v>250</v>
      </c>
      <c r="E80" s="9" t="s">
        <v>12</v>
      </c>
    </row>
    <row r="81" spans="1:5" x14ac:dyDescent="0.3">
      <c r="A81" s="9" t="s">
        <v>18</v>
      </c>
      <c r="B81" s="9">
        <v>2</v>
      </c>
      <c r="C81" s="9">
        <v>2029</v>
      </c>
      <c r="D81" s="9">
        <v>280</v>
      </c>
      <c r="E81" s="9" t="s">
        <v>6</v>
      </c>
    </row>
    <row r="82" spans="1:5" x14ac:dyDescent="0.3">
      <c r="A82" s="9" t="s">
        <v>19</v>
      </c>
      <c r="B82" s="9">
        <v>2</v>
      </c>
      <c r="C82" s="9">
        <v>2029</v>
      </c>
      <c r="D82" s="9">
        <v>280</v>
      </c>
      <c r="E82" s="9" t="s">
        <v>8</v>
      </c>
    </row>
    <row r="83" spans="1:5" x14ac:dyDescent="0.3">
      <c r="A83" s="9" t="s">
        <v>20</v>
      </c>
      <c r="B83" s="9">
        <v>2</v>
      </c>
      <c r="C83" s="9">
        <v>2029</v>
      </c>
      <c r="D83" s="9">
        <v>280</v>
      </c>
      <c r="E83" s="9" t="s">
        <v>10</v>
      </c>
    </row>
    <row r="84" spans="1:5" x14ac:dyDescent="0.3">
      <c r="A84" s="9" t="s">
        <v>21</v>
      </c>
      <c r="B84" s="9">
        <v>2</v>
      </c>
      <c r="C84" s="9">
        <v>2029</v>
      </c>
      <c r="D84" s="9">
        <v>280</v>
      </c>
      <c r="E84" s="9" t="s">
        <v>12</v>
      </c>
    </row>
    <row r="85" spans="1:5" x14ac:dyDescent="0.3">
      <c r="A85" s="9" t="s">
        <v>22</v>
      </c>
      <c r="B85" s="9">
        <v>1</v>
      </c>
      <c r="C85" s="9">
        <v>2029</v>
      </c>
      <c r="D85" s="9">
        <v>270</v>
      </c>
      <c r="E85" s="9" t="s">
        <v>6</v>
      </c>
    </row>
    <row r="86" spans="1:5" x14ac:dyDescent="0.3">
      <c r="A86" s="9" t="s">
        <v>23</v>
      </c>
      <c r="B86" s="9">
        <v>2</v>
      </c>
      <c r="C86" s="9">
        <v>2029</v>
      </c>
      <c r="D86" s="9">
        <v>300</v>
      </c>
      <c r="E86" s="9" t="s">
        <v>8</v>
      </c>
    </row>
    <row r="87" spans="1:5" x14ac:dyDescent="0.3">
      <c r="A87" s="9" t="s">
        <v>24</v>
      </c>
      <c r="B87" s="9">
        <v>1</v>
      </c>
      <c r="C87" s="9">
        <v>2029</v>
      </c>
      <c r="D87" s="9">
        <v>290</v>
      </c>
      <c r="E87" s="9" t="s">
        <v>6</v>
      </c>
    </row>
    <row r="88" spans="1:5" x14ac:dyDescent="0.3">
      <c r="A88" s="9" t="s">
        <v>25</v>
      </c>
      <c r="B88" s="9">
        <v>1</v>
      </c>
      <c r="C88" s="9">
        <v>2029</v>
      </c>
      <c r="D88" s="9">
        <v>290</v>
      </c>
      <c r="E88" s="9" t="s">
        <v>8</v>
      </c>
    </row>
    <row r="89" spans="1:5" x14ac:dyDescent="0.3">
      <c r="A89" s="9" t="s">
        <v>26</v>
      </c>
      <c r="B89" s="9">
        <v>1</v>
      </c>
      <c r="C89" s="9">
        <v>2029</v>
      </c>
      <c r="D89" s="9">
        <v>290</v>
      </c>
      <c r="E89" s="9" t="s">
        <v>10</v>
      </c>
    </row>
    <row r="90" spans="1:5" x14ac:dyDescent="0.3">
      <c r="A90" s="9" t="s">
        <v>27</v>
      </c>
      <c r="B90" s="9">
        <v>1</v>
      </c>
      <c r="C90" s="9">
        <v>2029</v>
      </c>
      <c r="D90" s="9">
        <v>290</v>
      </c>
      <c r="E90" s="9" t="s">
        <v>12</v>
      </c>
    </row>
    <row r="91" spans="1:5" x14ac:dyDescent="0.3">
      <c r="A91" s="9" t="s">
        <v>28</v>
      </c>
      <c r="B91" s="9">
        <v>2</v>
      </c>
      <c r="C91" s="9">
        <v>2029</v>
      </c>
      <c r="D91" s="9">
        <v>320</v>
      </c>
      <c r="E91" s="9" t="s">
        <v>6</v>
      </c>
    </row>
    <row r="92" spans="1:5" x14ac:dyDescent="0.3">
      <c r="A92" s="9" t="s">
        <v>29</v>
      </c>
      <c r="B92" s="9">
        <v>2</v>
      </c>
      <c r="C92" s="9">
        <v>2029</v>
      </c>
      <c r="D92" s="9">
        <v>340</v>
      </c>
      <c r="E92" s="9" t="s">
        <v>8</v>
      </c>
    </row>
    <row r="93" spans="1:5" x14ac:dyDescent="0.3">
      <c r="A93" s="9" t="s">
        <v>30</v>
      </c>
      <c r="B93" s="9">
        <v>2</v>
      </c>
      <c r="C93" s="9">
        <v>2029</v>
      </c>
      <c r="D93" s="9">
        <v>340</v>
      </c>
      <c r="E93" s="9" t="s">
        <v>10</v>
      </c>
    </row>
    <row r="94" spans="1:5" x14ac:dyDescent="0.3">
      <c r="A94" s="9" t="s">
        <v>31</v>
      </c>
      <c r="B94" s="9">
        <v>2</v>
      </c>
      <c r="C94" s="9">
        <v>2029</v>
      </c>
      <c r="D94" s="9">
        <v>340</v>
      </c>
      <c r="E94" s="9" t="s">
        <v>12</v>
      </c>
    </row>
    <row r="95" spans="1:5" x14ac:dyDescent="0.3">
      <c r="A95" s="9" t="s">
        <v>32</v>
      </c>
      <c r="B95" s="9">
        <v>1</v>
      </c>
      <c r="C95" s="9">
        <v>2029</v>
      </c>
      <c r="D95" s="9">
        <v>310</v>
      </c>
      <c r="E95" s="9" t="s">
        <v>6</v>
      </c>
    </row>
    <row r="96" spans="1:5" x14ac:dyDescent="0.3">
      <c r="A96" s="9" t="s">
        <v>33</v>
      </c>
      <c r="B96" s="9">
        <v>2</v>
      </c>
      <c r="C96" s="9">
        <v>2029</v>
      </c>
      <c r="D96" s="9">
        <v>340</v>
      </c>
      <c r="E96" s="9" t="s">
        <v>6</v>
      </c>
    </row>
    <row r="97" spans="1:5" x14ac:dyDescent="0.3">
      <c r="A97" s="9" t="s">
        <v>34</v>
      </c>
      <c r="B97" s="9">
        <v>1</v>
      </c>
      <c r="C97" s="9">
        <v>2029</v>
      </c>
      <c r="D97" s="9">
        <v>330</v>
      </c>
      <c r="E97" s="9" t="s">
        <v>8</v>
      </c>
    </row>
    <row r="98" spans="1:5" x14ac:dyDescent="0.3">
      <c r="A98" s="9" t="s">
        <v>35</v>
      </c>
      <c r="B98" s="9">
        <v>1</v>
      </c>
      <c r="C98" s="9">
        <v>2029</v>
      </c>
      <c r="D98" s="9">
        <v>330</v>
      </c>
      <c r="E98" s="9" t="s">
        <v>6</v>
      </c>
    </row>
    <row r="99" spans="1:5" x14ac:dyDescent="0.3">
      <c r="A99" s="9" t="s">
        <v>36</v>
      </c>
      <c r="B99" s="9">
        <v>1</v>
      </c>
      <c r="C99" s="9">
        <v>2029</v>
      </c>
      <c r="D99" s="9">
        <v>330</v>
      </c>
      <c r="E99" s="9" t="s">
        <v>8</v>
      </c>
    </row>
    <row r="100" spans="1:5" x14ac:dyDescent="0.3">
      <c r="A100" s="9" t="s">
        <v>37</v>
      </c>
      <c r="B100" s="9">
        <v>1</v>
      </c>
      <c r="C100" s="9">
        <v>2029</v>
      </c>
      <c r="D100" s="9">
        <v>330</v>
      </c>
      <c r="E100" s="9" t="s">
        <v>10</v>
      </c>
    </row>
    <row r="101" spans="1:5" x14ac:dyDescent="0.3">
      <c r="A101" s="9" t="s">
        <v>38</v>
      </c>
      <c r="B101" s="9">
        <v>2</v>
      </c>
      <c r="C101" s="9">
        <v>2029</v>
      </c>
      <c r="D101" s="9">
        <v>360</v>
      </c>
      <c r="E101" s="9" t="s">
        <v>8</v>
      </c>
    </row>
  </sheetData>
  <autoFilter ref="A1:E101" xr:uid="{74ACE47A-F331-4606-B13B-747A6F5435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4FCC-F2CD-4CA0-B430-22537F5FC481}">
  <dimension ref="A1:F11"/>
  <sheetViews>
    <sheetView workbookViewId="0">
      <selection activeCell="D2" sqref="D2"/>
    </sheetView>
  </sheetViews>
  <sheetFormatPr defaultRowHeight="14.4" x14ac:dyDescent="0.3"/>
  <cols>
    <col min="2" max="2" width="16.44140625" customWidth="1"/>
    <col min="3" max="3" width="18" customWidth="1"/>
    <col min="4" max="4" width="29.88671875" customWidth="1"/>
    <col min="5" max="5" width="26.109375" customWidth="1"/>
  </cols>
  <sheetData>
    <row r="1" spans="1:6" ht="15" thickBot="1" x14ac:dyDescent="0.35">
      <c r="A1" s="6" t="s">
        <v>2</v>
      </c>
      <c r="B1" s="6" t="s">
        <v>1</v>
      </c>
      <c r="C1" s="6" t="s">
        <v>39</v>
      </c>
      <c r="D1" s="6" t="s">
        <v>40</v>
      </c>
      <c r="E1" s="6" t="s">
        <v>41</v>
      </c>
      <c r="F1" s="4"/>
    </row>
    <row r="2" spans="1:6" x14ac:dyDescent="0.3">
      <c r="A2" s="3">
        <v>2025</v>
      </c>
      <c r="B2" s="3" t="s">
        <v>42</v>
      </c>
      <c r="C2" s="3">
        <v>400</v>
      </c>
      <c r="D2" s="3">
        <f t="shared" ref="D2:D6" si="0">C2*E2</f>
        <v>360</v>
      </c>
      <c r="E2" s="3">
        <v>0.9</v>
      </c>
    </row>
    <row r="3" spans="1:6" x14ac:dyDescent="0.3">
      <c r="A3" s="3">
        <v>2026</v>
      </c>
      <c r="B3" s="3" t="s">
        <v>42</v>
      </c>
      <c r="C3" s="3">
        <v>500</v>
      </c>
      <c r="D3" s="3">
        <f t="shared" si="0"/>
        <v>450</v>
      </c>
      <c r="E3" s="3">
        <v>0.9</v>
      </c>
    </row>
    <row r="4" spans="1:6" x14ac:dyDescent="0.3">
      <c r="A4" s="3">
        <v>2027</v>
      </c>
      <c r="B4" s="3" t="s">
        <v>42</v>
      </c>
      <c r="C4" s="3">
        <v>550</v>
      </c>
      <c r="D4" s="3">
        <f t="shared" si="0"/>
        <v>495</v>
      </c>
      <c r="E4" s="3">
        <v>0.9</v>
      </c>
    </row>
    <row r="5" spans="1:6" x14ac:dyDescent="0.3">
      <c r="A5" s="3">
        <v>2028</v>
      </c>
      <c r="B5" s="3" t="s">
        <v>42</v>
      </c>
      <c r="C5" s="3">
        <v>550</v>
      </c>
      <c r="D5" s="3">
        <f t="shared" si="0"/>
        <v>522.5</v>
      </c>
      <c r="E5" s="3">
        <v>0.95</v>
      </c>
    </row>
    <row r="6" spans="1:6" x14ac:dyDescent="0.3">
      <c r="A6" s="3">
        <v>2029</v>
      </c>
      <c r="B6" s="3" t="s">
        <v>42</v>
      </c>
      <c r="C6" s="3">
        <v>570</v>
      </c>
      <c r="D6" s="3">
        <f t="shared" si="0"/>
        <v>541.5</v>
      </c>
      <c r="E6" s="3">
        <v>0.95</v>
      </c>
    </row>
    <row r="7" spans="1:6" x14ac:dyDescent="0.3">
      <c r="A7" s="3">
        <v>2025</v>
      </c>
      <c r="B7" s="3" t="s">
        <v>43</v>
      </c>
      <c r="C7" s="3">
        <v>420</v>
      </c>
      <c r="D7" s="3">
        <f t="shared" ref="D7:D11" si="1">C7*E7</f>
        <v>378</v>
      </c>
      <c r="E7" s="3">
        <v>0.9</v>
      </c>
    </row>
    <row r="8" spans="1:6" x14ac:dyDescent="0.3">
      <c r="A8" s="3">
        <v>2026</v>
      </c>
      <c r="B8" s="3" t="s">
        <v>43</v>
      </c>
      <c r="C8" s="3">
        <v>520</v>
      </c>
      <c r="D8" s="3">
        <f t="shared" si="1"/>
        <v>468</v>
      </c>
      <c r="E8" s="3">
        <v>0.9</v>
      </c>
    </row>
    <row r="9" spans="1:6" x14ac:dyDescent="0.3">
      <c r="A9" s="3">
        <v>2027</v>
      </c>
      <c r="B9" s="3" t="s">
        <v>43</v>
      </c>
      <c r="C9" s="3">
        <v>570</v>
      </c>
      <c r="D9" s="3">
        <f t="shared" si="1"/>
        <v>513</v>
      </c>
      <c r="E9" s="3">
        <v>0.9</v>
      </c>
    </row>
    <row r="10" spans="1:6" x14ac:dyDescent="0.3">
      <c r="A10" s="3">
        <v>2028</v>
      </c>
      <c r="B10" s="3" t="s">
        <v>43</v>
      </c>
      <c r="C10" s="3">
        <v>580</v>
      </c>
      <c r="D10" s="3">
        <f t="shared" si="1"/>
        <v>551</v>
      </c>
      <c r="E10" s="3">
        <v>0.95</v>
      </c>
    </row>
    <row r="11" spans="1:6" x14ac:dyDescent="0.3">
      <c r="A11" s="3">
        <v>2029</v>
      </c>
      <c r="B11" s="3" t="s">
        <v>43</v>
      </c>
      <c r="C11" s="3">
        <v>580</v>
      </c>
      <c r="D11" s="3">
        <f t="shared" si="1"/>
        <v>551</v>
      </c>
      <c r="E11" s="3">
        <v>0.95</v>
      </c>
    </row>
  </sheetData>
  <autoFilter ref="A1:E11" xr:uid="{64DD4FCC-F2CD-4CA0-B430-22537F5FC48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1A81-0048-4FC5-8C83-AB39C1C7CC2E}">
  <dimension ref="A1:D26"/>
  <sheetViews>
    <sheetView workbookViewId="0">
      <selection activeCell="I10" sqref="I10"/>
    </sheetView>
  </sheetViews>
  <sheetFormatPr defaultRowHeight="14.4" x14ac:dyDescent="0.3"/>
  <cols>
    <col min="1" max="1" width="10.6640625" bestFit="1" customWidth="1"/>
    <col min="2" max="3" width="28.44140625" customWidth="1"/>
    <col min="4" max="4" width="31.33203125" customWidth="1"/>
  </cols>
  <sheetData>
    <row r="1" spans="1:4" x14ac:dyDescent="0.3">
      <c r="A1" s="7" t="s">
        <v>52</v>
      </c>
      <c r="B1" s="7" t="s">
        <v>53</v>
      </c>
      <c r="C1" s="7" t="s">
        <v>54</v>
      </c>
      <c r="D1" s="7" t="s">
        <v>55</v>
      </c>
    </row>
    <row r="2" spans="1:4" x14ac:dyDescent="0.3">
      <c r="A2" s="1" t="s">
        <v>56</v>
      </c>
      <c r="B2" s="1">
        <v>7.1542000000000003</v>
      </c>
      <c r="C2" s="1">
        <v>0.15</v>
      </c>
      <c r="D2" s="1">
        <v>0</v>
      </c>
    </row>
    <row r="3" spans="1:4" x14ac:dyDescent="0.3">
      <c r="A3" s="1" t="s">
        <v>57</v>
      </c>
      <c r="B3" s="1">
        <v>3.984</v>
      </c>
      <c r="C3" s="1">
        <v>0.2</v>
      </c>
      <c r="D3" s="1">
        <v>1.4</v>
      </c>
    </row>
    <row r="4" spans="1:4" x14ac:dyDescent="0.3">
      <c r="A4" s="1" t="s">
        <v>8</v>
      </c>
      <c r="B4" s="1">
        <v>3.1175000000000002</v>
      </c>
      <c r="C4" s="1">
        <v>0.25</v>
      </c>
      <c r="D4" s="1">
        <v>1.8</v>
      </c>
    </row>
    <row r="5" spans="1:4" x14ac:dyDescent="0.3">
      <c r="A5" s="1" t="s">
        <v>10</v>
      </c>
      <c r="B5" s="1">
        <v>7.0860000000000003</v>
      </c>
      <c r="C5" s="1">
        <v>0.35</v>
      </c>
      <c r="D5" s="1">
        <v>0.8</v>
      </c>
    </row>
    <row r="7" spans="1:4" x14ac:dyDescent="0.3">
      <c r="D7" t="s">
        <v>58</v>
      </c>
    </row>
    <row r="8" spans="1:4" x14ac:dyDescent="0.3">
      <c r="D8" t="s">
        <v>59</v>
      </c>
    </row>
    <row r="26" spans="2:2" x14ac:dyDescent="0.3">
      <c r="B26" t="s">
        <v>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7761-0AFE-44EB-B860-887C3AA7054A}">
  <dimension ref="A1:E11"/>
  <sheetViews>
    <sheetView workbookViewId="0">
      <selection activeCell="G27" sqref="G27"/>
    </sheetView>
  </sheetViews>
  <sheetFormatPr defaultRowHeight="14.4" x14ac:dyDescent="0.3"/>
  <cols>
    <col min="1" max="1" width="4.88671875" bestFit="1" customWidth="1"/>
    <col min="2" max="2" width="15.5546875" bestFit="1" customWidth="1"/>
    <col min="3" max="3" width="16.21875" bestFit="1" customWidth="1"/>
    <col min="4" max="4" width="21.33203125" bestFit="1" customWidth="1"/>
    <col min="5" max="5" width="22" bestFit="1" customWidth="1"/>
  </cols>
  <sheetData>
    <row r="1" spans="1:5" x14ac:dyDescent="0.3">
      <c r="A1" s="2" t="s">
        <v>2</v>
      </c>
      <c r="B1" s="2" t="s">
        <v>61</v>
      </c>
      <c r="C1" s="2" t="s">
        <v>62</v>
      </c>
      <c r="D1" s="2" t="s">
        <v>63</v>
      </c>
      <c r="E1" s="2" t="s">
        <v>64</v>
      </c>
    </row>
    <row r="2" spans="1:5" x14ac:dyDescent="0.3">
      <c r="A2" s="3">
        <v>2025</v>
      </c>
      <c r="B2" s="3">
        <v>300</v>
      </c>
      <c r="C2" s="3">
        <v>450</v>
      </c>
      <c r="D2" s="3">
        <v>1000</v>
      </c>
      <c r="E2" s="3">
        <v>2500</v>
      </c>
    </row>
    <row r="3" spans="1:5" x14ac:dyDescent="0.3">
      <c r="A3" s="3">
        <v>2026</v>
      </c>
      <c r="B3" s="3">
        <v>286</v>
      </c>
      <c r="C3" s="3">
        <v>450</v>
      </c>
      <c r="D3" s="3">
        <v>1000</v>
      </c>
      <c r="E3" s="3">
        <v>2500</v>
      </c>
    </row>
    <row r="4" spans="1:5" x14ac:dyDescent="0.3">
      <c r="A4" s="3">
        <v>2027</v>
      </c>
      <c r="B4" s="3">
        <v>272</v>
      </c>
      <c r="C4" s="3">
        <v>450</v>
      </c>
      <c r="D4" s="3">
        <v>1000</v>
      </c>
      <c r="E4" s="3">
        <v>2500</v>
      </c>
    </row>
    <row r="5" spans="1:5" x14ac:dyDescent="0.3">
      <c r="A5" s="3">
        <v>2028</v>
      </c>
      <c r="B5" s="3">
        <v>259</v>
      </c>
      <c r="C5" s="3">
        <v>450</v>
      </c>
      <c r="D5" s="3">
        <v>1000</v>
      </c>
      <c r="E5" s="3">
        <v>2500</v>
      </c>
    </row>
    <row r="6" spans="1:5" x14ac:dyDescent="0.3">
      <c r="A6" s="3">
        <v>2029</v>
      </c>
      <c r="B6" s="3">
        <v>247</v>
      </c>
      <c r="C6" s="3">
        <v>450</v>
      </c>
      <c r="D6" s="3">
        <v>1000</v>
      </c>
      <c r="E6" s="3">
        <v>2500</v>
      </c>
    </row>
    <row r="7" spans="1:5" x14ac:dyDescent="0.3">
      <c r="A7" s="3">
        <v>2030</v>
      </c>
      <c r="B7" s="3">
        <v>235</v>
      </c>
      <c r="C7" s="3">
        <v>450</v>
      </c>
      <c r="D7" s="3">
        <v>1000</v>
      </c>
      <c r="E7" s="3">
        <v>2500</v>
      </c>
    </row>
    <row r="8" spans="1:5" x14ac:dyDescent="0.3">
      <c r="A8" s="3">
        <v>2031</v>
      </c>
      <c r="B8" s="3">
        <v>224</v>
      </c>
      <c r="C8" s="3">
        <v>360</v>
      </c>
      <c r="D8" s="3">
        <v>1000</v>
      </c>
      <c r="E8" s="3">
        <v>2500</v>
      </c>
    </row>
    <row r="9" spans="1:5" x14ac:dyDescent="0.3">
      <c r="A9" s="3">
        <v>2032</v>
      </c>
      <c r="B9" s="3">
        <v>213</v>
      </c>
      <c r="C9" s="3">
        <v>360</v>
      </c>
      <c r="D9" s="3">
        <v>1000</v>
      </c>
      <c r="E9" s="3">
        <v>2500</v>
      </c>
    </row>
    <row r="10" spans="1:5" x14ac:dyDescent="0.3">
      <c r="A10" s="3">
        <v>2033</v>
      </c>
      <c r="B10" s="3">
        <v>203</v>
      </c>
      <c r="C10" s="3">
        <v>360</v>
      </c>
      <c r="D10" s="3">
        <v>1000</v>
      </c>
      <c r="E10" s="3">
        <v>2500</v>
      </c>
    </row>
    <row r="11" spans="1:5" x14ac:dyDescent="0.3">
      <c r="A11" s="3">
        <v>2034</v>
      </c>
      <c r="B11" s="3">
        <v>193</v>
      </c>
      <c r="C11" s="3">
        <v>360</v>
      </c>
      <c r="D11" s="3">
        <v>1000</v>
      </c>
      <c r="E11" s="3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DB47-F816-4930-B0F7-5CAA35BD0C1D}">
  <dimension ref="A1:F14"/>
  <sheetViews>
    <sheetView workbookViewId="0">
      <selection activeCell="C16" sqref="C16"/>
    </sheetView>
  </sheetViews>
  <sheetFormatPr defaultRowHeight="14.4" x14ac:dyDescent="0.3"/>
  <cols>
    <col min="1" max="1" width="23.6640625" bestFit="1" customWidth="1"/>
    <col min="2" max="2" width="36.44140625" customWidth="1"/>
  </cols>
  <sheetData>
    <row r="1" spans="1:6" x14ac:dyDescent="0.3">
      <c r="A1" s="2" t="s">
        <v>65</v>
      </c>
      <c r="B1" s="2" t="s">
        <v>66</v>
      </c>
    </row>
    <row r="2" spans="1:6" x14ac:dyDescent="0.3">
      <c r="A2" s="3" t="s">
        <v>67</v>
      </c>
      <c r="B2" s="3">
        <v>2000</v>
      </c>
    </row>
    <row r="3" spans="1:6" x14ac:dyDescent="0.3">
      <c r="A3" s="3" t="s">
        <v>68</v>
      </c>
      <c r="B3" s="3">
        <v>0.5</v>
      </c>
    </row>
    <row r="4" spans="1:6" x14ac:dyDescent="0.3">
      <c r="A4" s="3" t="s">
        <v>69</v>
      </c>
      <c r="B4" s="3">
        <v>1750</v>
      </c>
    </row>
    <row r="5" spans="1:6" x14ac:dyDescent="0.3">
      <c r="A5" s="3" t="s">
        <v>70</v>
      </c>
      <c r="B5" s="3">
        <v>500</v>
      </c>
    </row>
    <row r="6" spans="1:6" x14ac:dyDescent="0.3">
      <c r="A6" s="3" t="s">
        <v>71</v>
      </c>
      <c r="B6" s="3">
        <v>1000</v>
      </c>
    </row>
    <row r="7" spans="1:6" x14ac:dyDescent="0.3">
      <c r="A7" s="3" t="s">
        <v>72</v>
      </c>
      <c r="B7" s="3">
        <v>0.2</v>
      </c>
    </row>
    <row r="14" spans="1:6" x14ac:dyDescent="0.3"/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6E95-A9B6-488D-8605-2A44D6528C68}">
  <dimension ref="A1:B4"/>
  <sheetViews>
    <sheetView workbookViewId="0">
      <selection activeCell="C5" sqref="C5"/>
    </sheetView>
  </sheetViews>
  <sheetFormatPr defaultRowHeight="14.4" x14ac:dyDescent="0.3"/>
  <cols>
    <col min="1" max="1" width="19.5546875" bestFit="1" customWidth="1"/>
  </cols>
  <sheetData>
    <row r="1" spans="1:2" x14ac:dyDescent="0.3">
      <c r="A1" t="s">
        <v>73</v>
      </c>
      <c r="B1" t="s">
        <v>66</v>
      </c>
    </row>
    <row r="2" spans="1:2" x14ac:dyDescent="0.3">
      <c r="A2" t="s">
        <v>74</v>
      </c>
      <c r="B2">
        <v>400</v>
      </c>
    </row>
    <row r="3" spans="1:2" x14ac:dyDescent="0.3">
      <c r="A3" t="s">
        <v>75</v>
      </c>
      <c r="B3">
        <v>50</v>
      </c>
    </row>
    <row r="4" spans="1:2" x14ac:dyDescent="0.3">
      <c r="A4" t="s">
        <v>76</v>
      </c>
      <c r="B4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230E-6D44-4F2E-95EA-67C40E6FFA9D}">
  <dimension ref="A1:A2"/>
  <sheetViews>
    <sheetView workbookViewId="0">
      <selection activeCell="A2" sqref="A2"/>
    </sheetView>
  </sheetViews>
  <sheetFormatPr defaultRowHeight="14.4" x14ac:dyDescent="0.3"/>
  <cols>
    <col min="1" max="1" width="15.5546875" bestFit="1" customWidth="1"/>
  </cols>
  <sheetData>
    <row r="1" spans="1:1" x14ac:dyDescent="0.3">
      <c r="A1" t="s">
        <v>77</v>
      </c>
    </row>
    <row r="2" spans="1:1" x14ac:dyDescent="0.3">
      <c r="A2" s="10">
        <v>60000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798F-0B76-4360-86BC-976DBDEF832E}">
  <dimension ref="A1:H11"/>
  <sheetViews>
    <sheetView workbookViewId="0">
      <selection activeCell="E24" sqref="E24"/>
    </sheetView>
  </sheetViews>
  <sheetFormatPr defaultRowHeight="14.4" x14ac:dyDescent="0.3"/>
  <cols>
    <col min="1" max="1" width="17.109375" bestFit="1" customWidth="1"/>
    <col min="2" max="2" width="71.6640625" bestFit="1" customWidth="1"/>
  </cols>
  <sheetData>
    <row r="1" spans="1:8" x14ac:dyDescent="0.3">
      <c r="B1" s="5">
        <v>2025</v>
      </c>
      <c r="C1" s="5">
        <v>2026</v>
      </c>
      <c r="D1" s="5">
        <v>2027</v>
      </c>
      <c r="E1" s="5">
        <v>2028</v>
      </c>
      <c r="F1" s="5">
        <v>2029</v>
      </c>
      <c r="G1" s="5">
        <v>2030</v>
      </c>
      <c r="H1" s="5">
        <v>2031</v>
      </c>
    </row>
    <row r="2" spans="1:8" x14ac:dyDescent="0.3">
      <c r="A2" s="5" t="s">
        <v>44</v>
      </c>
    </row>
    <row r="3" spans="1:8" x14ac:dyDescent="0.3">
      <c r="A3" s="5" t="s">
        <v>45</v>
      </c>
    </row>
    <row r="4" spans="1:8" x14ac:dyDescent="0.3">
      <c r="A4" s="5" t="s">
        <v>46</v>
      </c>
    </row>
    <row r="5" spans="1:8" x14ac:dyDescent="0.3">
      <c r="A5" s="5" t="s">
        <v>47</v>
      </c>
    </row>
    <row r="6" spans="1:8" x14ac:dyDescent="0.3">
      <c r="A6" s="5" t="s">
        <v>48</v>
      </c>
    </row>
    <row r="7" spans="1:8" x14ac:dyDescent="0.3">
      <c r="A7" s="5" t="s">
        <v>49</v>
      </c>
    </row>
    <row r="8" spans="1:8" x14ac:dyDescent="0.3">
      <c r="A8" s="5" t="s">
        <v>50</v>
      </c>
    </row>
    <row r="9" spans="1:8" x14ac:dyDescent="0.3">
      <c r="A9" s="5" t="s">
        <v>51</v>
      </c>
    </row>
    <row r="11" spans="1:8" x14ac:dyDescent="0.3">
      <c r="B1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Vehicle_data</vt:lpstr>
      <vt:lpstr>vehicleChargingData</vt:lpstr>
      <vt:lpstr>EnergyProfileData</vt:lpstr>
      <vt:lpstr>InfraProcurementCosts</vt:lpstr>
      <vt:lpstr>EnergyParameters</vt:lpstr>
      <vt:lpstr>Parameters</vt:lpstr>
      <vt:lpstr>YearlyCAPEXBudget</vt:lpstr>
      <vt:lpstr>KPI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Sambrekar</dc:creator>
  <cp:keywords/>
  <dc:description/>
  <cp:lastModifiedBy>Mruthunjay Mani</cp:lastModifiedBy>
  <cp:revision/>
  <dcterms:created xsi:type="dcterms:W3CDTF">2025-11-18T13:25:33Z</dcterms:created>
  <dcterms:modified xsi:type="dcterms:W3CDTF">2025-12-12T15:57:15Z</dcterms:modified>
  <cp:category/>
  <cp:contentStatus/>
</cp:coreProperties>
</file>